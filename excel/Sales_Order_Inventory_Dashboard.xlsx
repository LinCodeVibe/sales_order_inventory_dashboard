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cca4821d7db3e1d/文件/project_2026/sales-order-inventory-dashboard/"/>
    </mc:Choice>
  </mc:AlternateContent>
  <xr:revisionPtr revIDLastSave="608" documentId="13_ncr:1_{83FEBCDD-8790-45BD-A544-E39AE86FF4F1}" xr6:coauthVersionLast="47" xr6:coauthVersionMax="47" xr10:uidLastSave="{3DC0A978-6A9C-4CD4-8148-B050E0B23980}"/>
  <bookViews>
    <workbookView xWindow="105" yWindow="0" windowWidth="28425" windowHeight="15585" tabRatio="746" xr2:uid="{333B4D40-FA7A-40E5-A0E9-6E0A94CD45AE}"/>
  </bookViews>
  <sheets>
    <sheet name="Dashboard" sheetId="1" r:id="rId1"/>
    <sheet name="Order_Tracker" sheetId="7" r:id="rId2"/>
    <sheet name="Pivot_Data" sheetId="8" r:id="rId3"/>
    <sheet name="Customers" sheetId="3" r:id="rId4"/>
    <sheet name="Products" sheetId="4" r:id="rId5"/>
    <sheet name="Orders" sheetId="5" r:id="rId6"/>
    <sheet name="Purchase Orders" sheetId="6" r:id="rId7"/>
  </sheets>
  <definedNames>
    <definedName name="Slicer_Customer">#N/A</definedName>
    <definedName name="Slicer_Status">#N/A</definedName>
  </definedNames>
  <calcPr calcId="191029"/>
  <pivotCaches>
    <pivotCache cacheId="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7" l="1"/>
  <c r="E3" i="7"/>
  <c r="G3" i="7"/>
  <c r="H3" i="7" s="1"/>
  <c r="I3" i="7"/>
  <c r="J3" i="7" s="1"/>
  <c r="K3" i="7"/>
  <c r="C4" i="7"/>
  <c r="E4" i="7"/>
  <c r="G4" i="7"/>
  <c r="H4" i="7" s="1"/>
  <c r="I4" i="7"/>
  <c r="J4" i="7" s="1"/>
  <c r="M4" i="7" s="1"/>
  <c r="K4" i="7"/>
  <c r="B4" i="1"/>
  <c r="K5" i="7"/>
  <c r="K6" i="7"/>
  <c r="K7" i="7"/>
  <c r="K8" i="7"/>
  <c r="K9" i="7"/>
  <c r="K10" i="7"/>
  <c r="K11" i="7"/>
  <c r="K12" i="7"/>
  <c r="K13" i="7"/>
  <c r="K14" i="7"/>
  <c r="K15" i="7"/>
  <c r="K16" i="7"/>
  <c r="K17" i="7"/>
  <c r="I5" i="7"/>
  <c r="J5" i="7" s="1"/>
  <c r="M5" i="7" s="1"/>
  <c r="I6" i="7"/>
  <c r="J6" i="7" s="1"/>
  <c r="I7" i="7"/>
  <c r="J7" i="7" s="1"/>
  <c r="M7" i="7" s="1"/>
  <c r="I8" i="7"/>
  <c r="J8" i="7" s="1"/>
  <c r="M8" i="7" s="1"/>
  <c r="I9" i="7"/>
  <c r="J9" i="7" s="1"/>
  <c r="I10" i="7"/>
  <c r="J10" i="7" s="1"/>
  <c r="I11" i="7"/>
  <c r="J11" i="7" s="1"/>
  <c r="M11" i="7" s="1"/>
  <c r="I12" i="7"/>
  <c r="J12" i="7" s="1"/>
  <c r="I13" i="7"/>
  <c r="J13" i="7" s="1"/>
  <c r="M13" i="7" s="1"/>
  <c r="I14" i="7"/>
  <c r="J14" i="7" s="1"/>
  <c r="M14" i="7" s="1"/>
  <c r="I15" i="7"/>
  <c r="J15" i="7" s="1"/>
  <c r="M15" i="7" s="1"/>
  <c r="I16" i="7"/>
  <c r="J16" i="7" s="1"/>
  <c r="M16" i="7" s="1"/>
  <c r="I17" i="7"/>
  <c r="J17" i="7" s="1"/>
  <c r="G5" i="7"/>
  <c r="H5" i="7" s="1"/>
  <c r="G6" i="7"/>
  <c r="H6" i="7" s="1"/>
  <c r="G7" i="7"/>
  <c r="H7" i="7" s="1"/>
  <c r="G8" i="7"/>
  <c r="H8" i="7" s="1"/>
  <c r="G9" i="7"/>
  <c r="H9" i="7" s="1"/>
  <c r="G10" i="7"/>
  <c r="H10" i="7" s="1"/>
  <c r="G11" i="7"/>
  <c r="H11" i="7" s="1"/>
  <c r="G12" i="7"/>
  <c r="H12" i="7" s="1"/>
  <c r="G13" i="7"/>
  <c r="H13" i="7" s="1"/>
  <c r="G14" i="7"/>
  <c r="H14" i="7" s="1"/>
  <c r="G15" i="7"/>
  <c r="H15" i="7" s="1"/>
  <c r="G16" i="7"/>
  <c r="H16" i="7" s="1"/>
  <c r="G17" i="7"/>
  <c r="H17" i="7" s="1"/>
  <c r="E5" i="7"/>
  <c r="E6" i="7"/>
  <c r="E7" i="7"/>
  <c r="E8" i="7"/>
  <c r="E9" i="7"/>
  <c r="E10" i="7"/>
  <c r="E11" i="7"/>
  <c r="E12" i="7"/>
  <c r="E13" i="7"/>
  <c r="E14" i="7"/>
  <c r="E15" i="7"/>
  <c r="E16" i="7"/>
  <c r="E17" i="7"/>
  <c r="C5" i="7"/>
  <c r="C6" i="7"/>
  <c r="C7" i="7"/>
  <c r="C8" i="7"/>
  <c r="C9" i="7"/>
  <c r="C10" i="7"/>
  <c r="C11" i="7"/>
  <c r="C12" i="7"/>
  <c r="C13" i="7"/>
  <c r="C14" i="7"/>
  <c r="C15" i="7"/>
  <c r="C16" i="7"/>
  <c r="C17" i="7"/>
  <c r="B6" i="1" l="1"/>
  <c r="M10" i="7"/>
  <c r="M9" i="7"/>
  <c r="M6" i="7"/>
  <c r="C4" i="1" s="1"/>
  <c r="M17" i="7"/>
  <c r="F4" i="1"/>
  <c r="M12" i="7"/>
  <c r="M3" i="7"/>
  <c r="E4" i="1"/>
  <c r="D4" i="1" l="1"/>
</calcChain>
</file>

<file path=xl/sharedStrings.xml><?xml version="1.0" encoding="utf-8"?>
<sst xmlns="http://schemas.openxmlformats.org/spreadsheetml/2006/main" count="511" uniqueCount="228">
  <si>
    <t>Customer_ID</t>
  </si>
  <si>
    <t>Customer_Name</t>
  </si>
  <si>
    <t>Region</t>
  </si>
  <si>
    <t>Account_Manager</t>
  </si>
  <si>
    <t>C001</t>
  </si>
  <si>
    <t>Alpha Data Systems</t>
  </si>
  <si>
    <t>West</t>
  </si>
  <si>
    <t>Jenny</t>
  </si>
  <si>
    <t>C002</t>
  </si>
  <si>
    <t>Nova Cloud Technologies</t>
  </si>
  <si>
    <t>David</t>
  </si>
  <si>
    <t>C003</t>
  </si>
  <si>
    <t>Apex Computing</t>
  </si>
  <si>
    <t>Central</t>
  </si>
  <si>
    <t>C004</t>
  </si>
  <si>
    <t>Vertex AI Systems</t>
  </si>
  <si>
    <t>East</t>
  </si>
  <si>
    <t>Michael</t>
  </si>
  <si>
    <t>C005</t>
  </si>
  <si>
    <t>Quantum Server Solutions</t>
  </si>
  <si>
    <t>Sarah</t>
  </si>
  <si>
    <t>C006</t>
  </si>
  <si>
    <t>NextGen Data Center</t>
  </si>
  <si>
    <t>C007</t>
  </si>
  <si>
    <t>Orion Computing</t>
  </si>
  <si>
    <t>C008</t>
  </si>
  <si>
    <t>Pacific Cloud Systems</t>
  </si>
  <si>
    <t>C009</t>
  </si>
  <si>
    <t>BluePeak Technologies</t>
  </si>
  <si>
    <t>C010</t>
  </si>
  <si>
    <t>CoreLink Computing</t>
  </si>
  <si>
    <t>C011</t>
  </si>
  <si>
    <t>Summit Data Solutions</t>
  </si>
  <si>
    <t>C012</t>
  </si>
  <si>
    <t>CloudBridge Systems</t>
  </si>
  <si>
    <t>C013</t>
  </si>
  <si>
    <t>IronGate Computing</t>
  </si>
  <si>
    <t>C014</t>
  </si>
  <si>
    <t>SilverLine Technologies</t>
  </si>
  <si>
    <t>C015</t>
  </si>
  <si>
    <t>Metro Data Systems</t>
  </si>
  <si>
    <t>C016</t>
  </si>
  <si>
    <t>PrimeCore Solutions</t>
  </si>
  <si>
    <t>C017</t>
  </si>
  <si>
    <t>Redwood Computing</t>
  </si>
  <si>
    <t>C018</t>
  </si>
  <si>
    <t>Atlas Cloud Systems</t>
  </si>
  <si>
    <t>C019</t>
  </si>
  <si>
    <t>Evergreen Data Technologies</t>
  </si>
  <si>
    <t>C020</t>
  </si>
  <si>
    <t>Velocity Computing Solutions</t>
  </si>
  <si>
    <t>C021</t>
  </si>
  <si>
    <t>NorthStar Server Systems</t>
  </si>
  <si>
    <t>C022</t>
  </si>
  <si>
    <t>GoldenGate Data Solutions</t>
  </si>
  <si>
    <t>C023</t>
  </si>
  <si>
    <t>Pioneer Computing Group</t>
  </si>
  <si>
    <t>C024</t>
  </si>
  <si>
    <t>Horizon Cloud Technologies</t>
  </si>
  <si>
    <t>C025</t>
  </si>
  <si>
    <t>SiliconEdge Systems</t>
  </si>
  <si>
    <t>C026</t>
  </si>
  <si>
    <t>DigitalPeak Computing</t>
  </si>
  <si>
    <t>C027</t>
  </si>
  <si>
    <t>ClearSky Data Solutions</t>
  </si>
  <si>
    <t>C028</t>
  </si>
  <si>
    <t>WestBridge Technologies</t>
  </si>
  <si>
    <t>C029</t>
  </si>
  <si>
    <t>EnterpriseCore Systems</t>
  </si>
  <si>
    <t>C030</t>
  </si>
  <si>
    <t>CloudMatrix Solutions</t>
  </si>
  <si>
    <t>C031</t>
  </si>
  <si>
    <t>TechNova Computing</t>
  </si>
  <si>
    <t>C032</t>
  </si>
  <si>
    <t>DataForge Systems</t>
  </si>
  <si>
    <t>C033</t>
  </si>
  <si>
    <t>HyperCore Technologies</t>
  </si>
  <si>
    <t>C034</t>
  </si>
  <si>
    <t>PacificEdge Computing</t>
  </si>
  <si>
    <t>C035</t>
  </si>
  <si>
    <t>Vector Data Systems</t>
  </si>
  <si>
    <t>C036</t>
  </si>
  <si>
    <t>Infinity Cloud Solutions</t>
  </si>
  <si>
    <t>C037</t>
  </si>
  <si>
    <t>PowerGrid Computing</t>
  </si>
  <si>
    <t>C038</t>
  </si>
  <si>
    <t>Optima Server Technologies</t>
  </si>
  <si>
    <t>C039</t>
  </si>
  <si>
    <t>FutureLink Data Systems</t>
  </si>
  <si>
    <t>C040</t>
  </si>
  <si>
    <t>WestCoast Cloud Services</t>
  </si>
  <si>
    <t>C041</t>
  </si>
  <si>
    <t>Unified Computing Solutions</t>
  </si>
  <si>
    <t>C042</t>
  </si>
  <si>
    <t>CloudWave Technologies</t>
  </si>
  <si>
    <t>C043</t>
  </si>
  <si>
    <t>Nexus Data Systems</t>
  </si>
  <si>
    <t>C044</t>
  </si>
  <si>
    <t>Advanced Server Solutions</t>
  </si>
  <si>
    <t>C045</t>
  </si>
  <si>
    <t>Digital Horizon Technologies</t>
  </si>
  <si>
    <t>C046</t>
  </si>
  <si>
    <t>CoreStream Computing</t>
  </si>
  <si>
    <t>C047</t>
  </si>
  <si>
    <t>Enterprise Data Works</t>
  </si>
  <si>
    <t>C048</t>
  </si>
  <si>
    <t>Pacific Server Technologies</t>
  </si>
  <si>
    <t>C049</t>
  </si>
  <si>
    <t>CloudSphere Systems</t>
  </si>
  <si>
    <t>C050</t>
  </si>
  <si>
    <t>NextWave Computing</t>
  </si>
  <si>
    <t>Product_ID</t>
  </si>
  <si>
    <t>Product_Name</t>
  </si>
  <si>
    <t>Category</t>
  </si>
  <si>
    <t>Unit_Price</t>
  </si>
  <si>
    <t>Inventory_Qty</t>
  </si>
  <si>
    <t>P001</t>
  </si>
  <si>
    <t>1200W Server PSU</t>
  </si>
  <si>
    <t>Power Supply</t>
  </si>
  <si>
    <t>P002</t>
  </si>
  <si>
    <t>32GB DDR5 DIMM</t>
  </si>
  <si>
    <t>Memory</t>
  </si>
  <si>
    <t>P003</t>
  </si>
  <si>
    <t>1TB NVMe SSD</t>
  </si>
  <si>
    <t>Storage</t>
  </si>
  <si>
    <t>P004</t>
  </si>
  <si>
    <t>25GbE Network Adapter</t>
  </si>
  <si>
    <t>Networking</t>
  </si>
  <si>
    <t>P005</t>
  </si>
  <si>
    <t>2TB NVMe SSD</t>
  </si>
  <si>
    <t>P006</t>
  </si>
  <si>
    <t>1600W Server PSU</t>
  </si>
  <si>
    <t>P007</t>
  </si>
  <si>
    <t>64GB DDR5 DIMM</t>
  </si>
  <si>
    <t>P008</t>
  </si>
  <si>
    <t>100GbE Network Adapter</t>
  </si>
  <si>
    <t>Order_ID</t>
  </si>
  <si>
    <t>Order_Date</t>
  </si>
  <si>
    <t>Quantity</t>
  </si>
  <si>
    <t>Requested_Date</t>
  </si>
  <si>
    <t>ORD001</t>
  </si>
  <si>
    <t>ORD002</t>
  </si>
  <si>
    <t>ORD003</t>
  </si>
  <si>
    <t>ORD004</t>
  </si>
  <si>
    <t>ORD005</t>
  </si>
  <si>
    <t>ORD006</t>
  </si>
  <si>
    <t>ORD007</t>
  </si>
  <si>
    <t>ORD008</t>
  </si>
  <si>
    <t>ORD009</t>
  </si>
  <si>
    <t>ORD010</t>
  </si>
  <si>
    <t>ORD011</t>
  </si>
  <si>
    <t>ORD012</t>
  </si>
  <si>
    <t>ORD013</t>
  </si>
  <si>
    <t>ORD014</t>
  </si>
  <si>
    <t>ORD015</t>
  </si>
  <si>
    <t>PO_ID</t>
  </si>
  <si>
    <t>Supplier</t>
  </si>
  <si>
    <t>Incoming_Qty</t>
  </si>
  <si>
    <t>ETA</t>
  </si>
  <si>
    <t>PO_Status</t>
  </si>
  <si>
    <t>PO001</t>
  </si>
  <si>
    <t>PowerTech Components</t>
  </si>
  <si>
    <t>In Transit</t>
  </si>
  <si>
    <t>PO002</t>
  </si>
  <si>
    <t>NetCore Electronics</t>
  </si>
  <si>
    <t>PO003</t>
  </si>
  <si>
    <t>PO004</t>
  </si>
  <si>
    <t>MemoryWorks</t>
  </si>
  <si>
    <t>PO005</t>
  </si>
  <si>
    <t>PO006</t>
  </si>
  <si>
    <t>StoragePro</t>
  </si>
  <si>
    <t>PO007</t>
  </si>
  <si>
    <t>PO008</t>
  </si>
  <si>
    <t>ComputeSource</t>
  </si>
  <si>
    <t>PO009</t>
  </si>
  <si>
    <t>P009</t>
  </si>
  <si>
    <t>PO010</t>
  </si>
  <si>
    <t>P010</t>
  </si>
  <si>
    <t>PO011</t>
  </si>
  <si>
    <t>Confirmed</t>
  </si>
  <si>
    <t>PO012</t>
  </si>
  <si>
    <t>PO013</t>
  </si>
  <si>
    <t>PO014</t>
  </si>
  <si>
    <t>PO015</t>
  </si>
  <si>
    <t>PO016</t>
  </si>
  <si>
    <t>PO017</t>
  </si>
  <si>
    <t>PO018</t>
  </si>
  <si>
    <t>PO019</t>
  </si>
  <si>
    <t>PO020</t>
  </si>
  <si>
    <t>PO021</t>
  </si>
  <si>
    <t>Open</t>
  </si>
  <si>
    <t>PO022</t>
  </si>
  <si>
    <t>PO023</t>
  </si>
  <si>
    <t>PO024</t>
  </si>
  <si>
    <t>PO025</t>
  </si>
  <si>
    <t>PO026</t>
  </si>
  <si>
    <t>PO027</t>
  </si>
  <si>
    <t>PO028</t>
  </si>
  <si>
    <t>PO029</t>
  </si>
  <si>
    <t>PO030</t>
  </si>
  <si>
    <t>Order ID</t>
  </si>
  <si>
    <t>Customer</t>
  </si>
  <si>
    <t>Product</t>
  </si>
  <si>
    <t>Qty</t>
  </si>
  <si>
    <t>Unit Price</t>
  </si>
  <si>
    <t>Order Value</t>
  </si>
  <si>
    <t>Inventory</t>
  </si>
  <si>
    <t>Shortage</t>
  </si>
  <si>
    <t>Supplier ETA</t>
  </si>
  <si>
    <t>Requested Date</t>
  </si>
  <si>
    <t>Status</t>
  </si>
  <si>
    <t>Sales Order &amp; Inventory Dashboard</t>
  </si>
  <si>
    <t>Open Orders</t>
  </si>
  <si>
    <t>Ready</t>
  </si>
  <si>
    <t>At Risk</t>
  </si>
  <si>
    <t>Inventory Shortages</t>
  </si>
  <si>
    <t>Total Order Value</t>
  </si>
  <si>
    <t>Row Labels</t>
  </si>
  <si>
    <t>Grand Total</t>
  </si>
  <si>
    <t>Count of Order ID</t>
  </si>
  <si>
    <t>Sum of Order Value</t>
  </si>
  <si>
    <t>Incoming - On Time</t>
  </si>
  <si>
    <t>PivotTable 1 — Orders by Status</t>
  </si>
  <si>
    <t>PivotTable 2 — Order Value by Customer</t>
  </si>
  <si>
    <t>Incoming On Time</t>
  </si>
  <si>
    <t>Orders Requiring Attention</t>
  </si>
  <si>
    <t>Requested</t>
  </si>
  <si>
    <t>Sales Order &amp; Inventory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</si>
</sst>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x14ac:knownFonts="1">
    <font>
      <sz val="11"/>
      <color theme="1"/>
      <name val="Aptos Narrow"/>
      <family val="2"/>
      <scheme val="minor"/>
    </font>
    <font>
      <sz val="11"/>
      <color theme="1" tint="4.9989318521683403E-2"/>
      <name val="Aptos Narrow"/>
      <family val="2"/>
      <scheme val="minor"/>
    </font>
    <font>
      <sz val="14"/>
      <color theme="1"/>
      <name val="Aptos Narrow"/>
      <family val="2"/>
      <scheme val="minor"/>
    </font>
    <font>
      <b/>
      <sz val="13"/>
      <color theme="1" tint="4.9989318521683403E-2"/>
      <name val="Aptos Narrow"/>
      <family val="2"/>
      <scheme val="minor"/>
    </font>
    <font>
      <sz val="13"/>
      <color theme="1"/>
      <name val="Aptos Narrow"/>
      <family val="2"/>
      <scheme val="minor"/>
    </font>
    <font>
      <sz val="13"/>
      <color theme="1" tint="4.9989318521683403E-2"/>
      <name val="Aptos Narrow"/>
      <family val="2"/>
      <scheme val="minor"/>
    </font>
    <font>
      <b/>
      <sz val="13"/>
      <color theme="1"/>
      <name val="Aptos Narrow"/>
      <family val="2"/>
      <scheme val="minor"/>
    </font>
    <font>
      <b/>
      <sz val="22"/>
      <color theme="1"/>
      <name val="Aptos Narrow"/>
      <family val="2"/>
      <scheme val="minor"/>
    </font>
  </fonts>
  <fills count="5">
    <fill>
      <patternFill patternType="none"/>
    </fill>
    <fill>
      <patternFill patternType="gray125"/>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theme="0"/>
        <bgColor theme="9"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3">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4" fontId="0" fillId="0" borderId="1" xfId="0" applyNumberFormat="1" applyBorder="1"/>
    <xf numFmtId="164" fontId="0" fillId="0" borderId="8" xfId="0" applyNumberFormat="1" applyBorder="1"/>
    <xf numFmtId="0" fontId="0" fillId="0" borderId="0" xfId="0" applyAlignment="1">
      <alignment horizontal="center"/>
    </xf>
    <xf numFmtId="0" fontId="2" fillId="0" borderId="0" xfId="0" applyFont="1" applyAlignment="1">
      <alignment horizontal="center"/>
    </xf>
    <xf numFmtId="0" fontId="3" fillId="3" borderId="1" xfId="0" applyFont="1" applyFill="1" applyBorder="1" applyAlignment="1">
      <alignment horizontal="center"/>
    </xf>
    <xf numFmtId="0" fontId="4" fillId="2" borderId="1" xfId="0" applyFont="1" applyFill="1" applyBorder="1" applyAlignment="1">
      <alignment horizontal="center"/>
    </xf>
    <xf numFmtId="0" fontId="4" fillId="4" borderId="1"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6" fillId="3" borderId="6" xfId="0" applyFont="1" applyFill="1" applyBorder="1" applyAlignment="1">
      <alignment horizontal="center"/>
    </xf>
    <xf numFmtId="0" fontId="6" fillId="3" borderId="10" xfId="0" applyFont="1" applyFill="1" applyBorder="1" applyAlignment="1">
      <alignment horizontal="center"/>
    </xf>
    <xf numFmtId="0" fontId="6" fillId="3" borderId="4" xfId="0" applyFont="1" applyFill="1" applyBorder="1" applyAlignment="1">
      <alignment horizontal="center"/>
    </xf>
    <xf numFmtId="0" fontId="7" fillId="0" borderId="0" xfId="0" applyFont="1" applyAlignment="1">
      <alignment horizontal="center"/>
    </xf>
    <xf numFmtId="0" fontId="7" fillId="0" borderId="10" xfId="0" applyFont="1" applyBorder="1" applyAlignment="1">
      <alignment horizontal="center"/>
    </xf>
    <xf numFmtId="0" fontId="0" fillId="0" borderId="1" xfId="0" applyNumberFormat="1" applyBorder="1"/>
    <xf numFmtId="0" fontId="0" fillId="0" borderId="8" xfId="0" applyNumberFormat="1" applyBorder="1"/>
    <xf numFmtId="14" fontId="4" fillId="2" borderId="1" xfId="0" applyNumberFormat="1" applyFont="1" applyFill="1" applyBorder="1" applyAlignment="1">
      <alignment horizontal="center"/>
    </xf>
    <xf numFmtId="14" fontId="4" fillId="4" borderId="1" xfId="0" applyNumberFormat="1" applyFont="1" applyFill="1" applyBorder="1" applyAlignment="1">
      <alignment horizontal="center"/>
    </xf>
    <xf numFmtId="164" fontId="4" fillId="2" borderId="3" xfId="0" applyNumberFormat="1" applyFont="1" applyFill="1" applyBorder="1" applyAlignment="1">
      <alignment horizontal="center"/>
    </xf>
    <xf numFmtId="164" fontId="4" fillId="2" borderId="11" xfId="0" applyNumberFormat="1" applyFont="1" applyFill="1" applyBorder="1" applyAlignment="1">
      <alignment horizontal="center"/>
    </xf>
    <xf numFmtId="164" fontId="4" fillId="2" borderId="2" xfId="0" applyNumberFormat="1" applyFont="1" applyFill="1" applyBorder="1" applyAlignment="1">
      <alignment horizont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cellXfs>
  <cellStyles count="1">
    <cellStyle name="Normal" xfId="0" builtinId="0"/>
  </cellStyles>
  <dxfs count="42">
    <dxf>
      <font>
        <strike val="0"/>
        <outline val="0"/>
        <shadow val="0"/>
        <u val="none"/>
        <vertAlign val="baseline"/>
        <sz val="11"/>
        <color theme="1" tint="4.9989318521683403E-2"/>
        <name val="Aptos Narrow"/>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bottom/>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dxf>
    <dxf>
      <font>
        <color rgb="FF9C0006"/>
      </font>
      <fill>
        <patternFill>
          <bgColor rgb="FFFFC7CE"/>
        </patternFill>
      </fill>
    </dxf>
    <dxf>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color rgb="FF9C0006"/>
      </font>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3"/>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3"/>
        <color theme="1" tint="4.9989318521683403E-2"/>
        <name val="Aptos Narrow"/>
        <family val="2"/>
        <scheme val="minor"/>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Aptos Narrow"/>
        <family val="2"/>
        <scheme val="minor"/>
      </font>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3"/>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3"/>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3"/>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3"/>
        <color theme="1"/>
        <name val="Aptos Narrow"/>
        <family val="2"/>
        <scheme val="minor"/>
      </font>
      <alignment horizontal="center" vertical="bottom" textRotation="0" wrapText="0" indent="0" justifyLastLine="0" shrinkToFit="0" readingOrder="0"/>
      <border diagonalUp="0" diagonalDown="0" outline="0">
        <left/>
        <right style="thin">
          <color indexed="64"/>
        </right>
        <top style="thin">
          <color indexed="64"/>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64" formatCode="&quot;$&quot;#,##0"/>
    </dxf>
    <dxf>
      <numFmt numFmtId="164" formatCode="&quot;$&quot;#,##0"/>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fgColor indexed="64"/>
          <bgColor indexed="65"/>
        </patternFill>
      </fill>
      <border diagonalUp="0" diagonalDown="0">
        <left style="thin">
          <color indexed="64"/>
        </left>
        <right/>
        <top style="thin">
          <color indexed="64"/>
        </top>
        <bottom style="thin">
          <color indexed="64"/>
        </bottom>
        <vertical/>
        <horizontal/>
      </border>
    </dxf>
    <dxf>
      <numFmt numFmtId="19" formatCode="m/d/yyyy"/>
    </dxf>
    <dxf>
      <numFmt numFmtId="19" formatCode="m/d/yyyy"/>
    </dxf>
    <dxf>
      <numFmt numFmtId="19" formatCode="m/d/yyyy"/>
    </dxf>
    <dxf>
      <font>
        <b val="0"/>
        <i val="0"/>
        <strike val="0"/>
        <condense val="0"/>
        <extend val="0"/>
        <outline val="0"/>
        <shadow val="0"/>
        <u val="none"/>
        <vertAlign val="baseline"/>
        <sz val="11"/>
        <color theme="1"/>
        <name val="Aptos Narrow"/>
        <family val="2"/>
        <scheme val="minor"/>
      </font>
      <numFmt numFmtId="19" formatCode="m/d/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9" formatCode="m/d/yyyy"/>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[Sales_Order_Inventory_Dashboard.xlsx]Pivot_Data!PivotTable1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Value by Customer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Pivot_Data!$A$4:$A$12</c:f>
              <c:strCache>
                <c:ptCount val="8"/>
                <c:pt idx="0">
                  <c:v>Orion Computing</c:v>
                </c:pt>
                <c:pt idx="1">
                  <c:v>Pacific Cloud Systems</c:v>
                </c:pt>
                <c:pt idx="2">
                  <c:v>Vertex AI Systems</c:v>
                </c:pt>
                <c:pt idx="3">
                  <c:v>Quantum Server Solutions</c:v>
                </c:pt>
                <c:pt idx="4">
                  <c:v>NextGen Data Center</c:v>
                </c:pt>
                <c:pt idx="5">
                  <c:v>Apex Computing</c:v>
                </c:pt>
                <c:pt idx="6">
                  <c:v>Nova Cloud Technologies</c:v>
                </c:pt>
                <c:pt idx="7">
                  <c:v>Alpha Data Systems</c:v>
                </c:pt>
              </c:strCache>
            </c:strRef>
          </c:cat>
          <c:val>
            <c:numRef>
              <c:f>Pivot_Data!$B$4:$B$12</c:f>
              <c:numCache>
                <c:formatCode>"$"#,##0</c:formatCode>
                <c:ptCount val="8"/>
                <c:pt idx="0">
                  <c:v>4750</c:v>
                </c:pt>
                <c:pt idx="1">
                  <c:v>7700</c:v>
                </c:pt>
                <c:pt idx="2">
                  <c:v>15300</c:v>
                </c:pt>
                <c:pt idx="3">
                  <c:v>18100</c:v>
                </c:pt>
                <c:pt idx="4">
                  <c:v>21700</c:v>
                </c:pt>
                <c:pt idx="5">
                  <c:v>26300</c:v>
                </c:pt>
                <c:pt idx="6">
                  <c:v>32500</c:v>
                </c:pt>
                <c:pt idx="7">
                  <c:v>39400</c:v>
                </c:pt>
              </c:numCache>
            </c:numRef>
          </c:val>
          <c:extLst>
            <c:ext xmlns:c16="http://schemas.microsoft.com/office/drawing/2014/chart" uri="{C3380CC4-5D6E-409C-BE32-E72D297353CC}">
              <c16:uniqueId val="{00000000-9F5A-4D4D-A197-F961692ACB4E}"/>
            </c:ext>
          </c:extLst>
        </c:ser>
        <c:dLbls>
          <c:dLblPos val="inEnd"/>
          <c:showLegendKey val="0"/>
          <c:showVal val="1"/>
          <c:showCatName val="0"/>
          <c:showSerName val="0"/>
          <c:showPercent val="0"/>
          <c:showBubbleSize val="0"/>
        </c:dLbls>
        <c:gapWidth val="65"/>
        <c:axId val="1680857951"/>
        <c:axId val="2041624271"/>
      </c:barChart>
      <c:catAx>
        <c:axId val="1680857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41624271"/>
        <c:crosses val="autoZero"/>
        <c:auto val="1"/>
        <c:lblAlgn val="ctr"/>
        <c:lblOffset val="100"/>
        <c:noMultiLvlLbl val="0"/>
      </c:catAx>
      <c:valAx>
        <c:axId val="204162427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085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[Sales_Order_Inventory_Dashboard.xlsx]Pivot_Data!PivotTable2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Orders by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Pivot_Data!$E$3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Pivot_Data!$D$4:$D$7</c:f>
              <c:strCache>
                <c:ptCount val="3"/>
                <c:pt idx="0">
                  <c:v>At Risk</c:v>
                </c:pt>
                <c:pt idx="1">
                  <c:v>Incoming - On Time</c:v>
                </c:pt>
                <c:pt idx="2">
                  <c:v>Ready</c:v>
                </c:pt>
              </c:strCache>
            </c:strRef>
          </c:cat>
          <c:val>
            <c:numRef>
              <c:f>Pivot_Data!$E$4:$E$7</c:f>
              <c:numCache>
                <c:formatCode>General</c:formatCode>
                <c:ptCount val="3"/>
                <c:pt idx="0">
                  <c:v>3</c:v>
                </c:pt>
                <c:pt idx="1">
                  <c:v>3</c:v>
                </c:pt>
                <c:pt idx="2">
                  <c:v>9</c:v>
                </c:pt>
              </c:numCache>
            </c:numRef>
          </c:val>
          <c:extLst>
            <c:ext xmlns:c16="http://schemas.microsoft.com/office/drawing/2014/chart" uri="{C3380CC4-5D6E-409C-BE32-E72D297353CC}">
              <c16:uniqueId val="{00000000-3C1E-4FDD-8C7C-A13D588222A4}"/>
            </c:ext>
          </c:extLst>
        </c:ser>
        <c:dLbls>
          <c:showLegendKey val="0"/>
          <c:showVal val="0"/>
          <c:showCatName val="0"/>
          <c:showSerName val="0"/>
          <c:showPercent val="0"/>
          <c:showBubbleSize val="0"/>
        </c:dLbls>
        <c:gapWidth val="65"/>
        <c:shape val="box"/>
        <c:axId val="2062403583"/>
        <c:axId val="2024275535"/>
        <c:axId val="0"/>
      </c:bar3DChart>
      <c:catAx>
        <c:axId val="20624035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4275535"/>
        <c:crosses val="autoZero"/>
        <c:auto val="1"/>
        <c:lblAlgn val="ctr"/>
        <c:lblOffset val="100"/>
        <c:noMultiLvlLbl val="0"/>
      </c:catAx>
      <c:valAx>
        <c:axId val="20242755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6240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191710</xdr:colOff>
      <xdr:row>6</xdr:row>
      <xdr:rowOff>2266950</xdr:rowOff>
    </xdr:from>
    <xdr:to>
      <xdr:col>5</xdr:col>
      <xdr:colOff>1142998</xdr:colOff>
      <xdr:row>7</xdr:row>
      <xdr:rowOff>2686050</xdr:rowOff>
    </xdr:to>
    <xdr:graphicFrame macro="">
      <xdr:nvGraphicFramePr>
        <xdr:cNvPr id="2" name="Chart 1">
          <a:extLst>
            <a:ext uri="{FF2B5EF4-FFF2-40B4-BE49-F238E27FC236}">
              <a16:creationId xmlns:a16="http://schemas.microsoft.com/office/drawing/2014/main" id="{428858D0-1D92-1201-9E83-B7B28E834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302421</xdr:colOff>
      <xdr:row>6</xdr:row>
      <xdr:rowOff>66673</xdr:rowOff>
    </xdr:from>
    <xdr:to>
      <xdr:col>5</xdr:col>
      <xdr:colOff>611983</xdr:colOff>
      <xdr:row>6</xdr:row>
      <xdr:rowOff>2190749</xdr:rowOff>
    </xdr:to>
    <xdr:graphicFrame macro="">
      <xdr:nvGraphicFramePr>
        <xdr:cNvPr id="3" name="Chart 2">
          <a:extLst>
            <a:ext uri="{FF2B5EF4-FFF2-40B4-BE49-F238E27FC236}">
              <a16:creationId xmlns:a16="http://schemas.microsoft.com/office/drawing/2014/main" id="{FD44D333-8DD6-C74A-BBFF-7EFE66B51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1320690</xdr:colOff>
      <xdr:row>7</xdr:row>
      <xdr:rowOff>21319</xdr:rowOff>
    </xdr:from>
    <xdr:to>
      <xdr:col>8</xdr:col>
      <xdr:colOff>220022</xdr:colOff>
      <xdr:row>7</xdr:row>
      <xdr:rowOff>2688319</xdr:rowOff>
    </xdr:to>
    <mc:AlternateContent xmlns:mc="http://schemas.openxmlformats.org/markup-compatibility/2006">
      <mc:Choice xmlns:a14="http://schemas.microsoft.com/office/drawing/2010/main" Requires="a14">
        <xdr:graphicFrame macro="">
          <xdr:nvGraphicFramePr>
            <xdr:cNvPr id="4" name="Customer">
              <a:extLst>
                <a:ext uri="{FF2B5EF4-FFF2-40B4-BE49-F238E27FC236}">
                  <a16:creationId xmlns:a16="http://schemas.microsoft.com/office/drawing/2014/main" id="{C3DC3BEF-BB5D-D817-0908-23F49C5BC1C2}"/>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7952471" y="3783694"/>
              <a:ext cx="181636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762267</xdr:colOff>
      <xdr:row>6</xdr:row>
      <xdr:rowOff>120650</xdr:rowOff>
    </xdr:from>
    <xdr:to>
      <xdr:col>7</xdr:col>
      <xdr:colOff>78924</xdr:colOff>
      <xdr:row>6</xdr:row>
      <xdr:rowOff>2159000</xdr:rowOff>
    </xdr:to>
    <mc:AlternateContent xmlns:mc="http://schemas.openxmlformats.org/markup-compatibility/2006">
      <mc:Choice xmlns:a14="http://schemas.microsoft.com/office/drawing/2010/main" Requires="a14">
        <xdr:graphicFrame macro="">
          <xdr:nvGraphicFramePr>
            <xdr:cNvPr id="5" name="Status">
              <a:extLst>
                <a:ext uri="{FF2B5EF4-FFF2-40B4-BE49-F238E27FC236}">
                  <a16:creationId xmlns:a16="http://schemas.microsoft.com/office/drawing/2014/main" id="{EECD612E-608D-E976-92BD-A692F1E50F9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7394048" y="1525588"/>
              <a:ext cx="162647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S Hsiao" refreshedDate="46302.434133333336" createdVersion="8" refreshedVersion="8" minRefreshableVersion="3" recordCount="15" xr:uid="{63023C2A-173A-4292-8590-D4C53DE61231}">
  <cacheSource type="worksheet">
    <worksheetSource name="Table12"/>
  </cacheSource>
  <cacheFields count="13">
    <cacheField name="Order ID" numFmtId="0">
      <sharedItems count="15">
        <s v="ORD001"/>
        <s v="ORD002"/>
        <s v="ORD003"/>
        <s v="ORD004"/>
        <s v="ORD005"/>
        <s v="ORD006"/>
        <s v="ORD007"/>
        <s v="ORD008"/>
        <s v="ORD009"/>
        <s v="ORD010"/>
        <s v="ORD011"/>
        <s v="ORD012"/>
        <s v="ORD013"/>
        <s v="ORD014"/>
        <s v="ORD015"/>
      </sharedItems>
    </cacheField>
    <cacheField name="Customer_ID" numFmtId="0">
      <sharedItems/>
    </cacheField>
    <cacheField name="Customer" numFmtId="0">
      <sharedItems count="8">
        <s v="Alpha Data Systems"/>
        <s v="Nova Cloud Technologies"/>
        <s v="Apex Computing"/>
        <s v="Vertex AI Systems"/>
        <s v="Quantum Server Solutions"/>
        <s v="NextGen Data Center"/>
        <s v="Orion Computing"/>
        <s v="Pacific Cloud Systems"/>
      </sharedItems>
    </cacheField>
    <cacheField name="Product_ID" numFmtId="0">
      <sharedItems/>
    </cacheField>
    <cacheField name="Product" numFmtId="0">
      <sharedItems/>
    </cacheField>
    <cacheField name="Qty" numFmtId="0">
      <sharedItems containsSemiMixedTypes="0" containsString="0" containsNumber="1" containsInteger="1" minValue="20" maxValue="100"/>
    </cacheField>
    <cacheField name="Unit Price" numFmtId="0">
      <sharedItems containsSemiMixedTypes="0" containsString="0" containsNumber="1" containsInteger="1" minValue="110" maxValue="420"/>
    </cacheField>
    <cacheField name="Order Value" numFmtId="0">
      <sharedItems containsSemiMixedTypes="0" containsString="0" containsNumber="1" containsInteger="1" minValue="3300" maxValue="28000"/>
    </cacheField>
    <cacheField name="Inventory" numFmtId="0">
      <sharedItems containsSemiMixedTypes="0" containsString="0" containsNumber="1" containsInteger="1" minValue="20" maxValue="120"/>
    </cacheField>
    <cacheField name="Shortage" numFmtId="0">
      <sharedItems containsSemiMixedTypes="0" containsString="0" containsNumber="1" containsInteger="1" minValue="0" maxValue="35"/>
    </cacheField>
    <cacheField name="Supplier ETA" numFmtId="14">
      <sharedItems containsSemiMixedTypes="0" containsNonDate="0" containsDate="1" containsString="0" minDate="2026-10-10T00:00:00" maxDate="2026-10-21T00:00:00"/>
    </cacheField>
    <cacheField name="Requested Date" numFmtId="14">
      <sharedItems containsSemiMixedTypes="0" containsNonDate="0" containsDate="1" containsString="0" minDate="2026-10-11T00:00:00" maxDate="2026-10-23T00:00:00"/>
    </cacheField>
    <cacheField name="Status" numFmtId="0">
      <sharedItems count="3">
        <s v="At Risk"/>
        <s v="Ready"/>
        <s v="Incoming - On Time"/>
      </sharedItems>
    </cacheField>
  </cacheFields>
  <extLst>
    <ext xmlns:x14="http://schemas.microsoft.com/office/spreadsheetml/2009/9/main" uri="{725AE2AE-9491-48be-B2B4-4EB974FC3084}">
      <x14:pivotCacheDefinition pivotCacheId="15782331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s v="C001"/>
    <x v="0"/>
    <s v="P001"/>
    <s v="1200W Server PSU"/>
    <n v="100"/>
    <n v="280"/>
    <n v="28000"/>
    <n v="65"/>
    <n v="35"/>
    <d v="2026-10-15T00:00:00"/>
    <d v="2026-10-12T00:00:00"/>
    <x v="0"/>
  </r>
  <r>
    <x v="1"/>
    <s v="C002"/>
    <x v="1"/>
    <s v="P003"/>
    <s v="1TB NVMe SSD"/>
    <n v="50"/>
    <n v="110"/>
    <n v="5500"/>
    <n v="80"/>
    <n v="0"/>
    <d v="2026-10-11T00:00:00"/>
    <d v="2026-10-15T00:00:00"/>
    <x v="1"/>
  </r>
  <r>
    <x v="2"/>
    <s v="C003"/>
    <x v="2"/>
    <s v="P002"/>
    <s v="32GB DDR5 DIMM"/>
    <n v="80"/>
    <n v="145"/>
    <n v="11600"/>
    <n v="120"/>
    <n v="0"/>
    <d v="2026-10-20T00:00:00"/>
    <d v="2026-10-18T00:00:00"/>
    <x v="1"/>
  </r>
  <r>
    <x v="3"/>
    <s v="C004"/>
    <x v="3"/>
    <s v="P004"/>
    <s v="25GbE Network Adapter"/>
    <n v="50"/>
    <n v="190"/>
    <n v="9500"/>
    <n v="30"/>
    <n v="20"/>
    <d v="2026-10-10T00:00:00"/>
    <d v="2026-10-11T00:00:00"/>
    <x v="2"/>
  </r>
  <r>
    <x v="4"/>
    <s v="C005"/>
    <x v="4"/>
    <s v="P006"/>
    <s v="1600W Server PSU"/>
    <n v="20"/>
    <n v="350"/>
    <n v="7000"/>
    <n v="25"/>
    <n v="0"/>
    <d v="2026-10-18T00:00:00"/>
    <d v="2026-10-20T00:00:00"/>
    <x v="1"/>
  </r>
  <r>
    <x v="5"/>
    <s v="C001"/>
    <x v="0"/>
    <s v="P003"/>
    <s v="1TB NVMe SSD"/>
    <n v="30"/>
    <n v="110"/>
    <n v="3300"/>
    <n v="80"/>
    <n v="0"/>
    <d v="2026-10-11T00:00:00"/>
    <d v="2026-10-14T00:00:00"/>
    <x v="1"/>
  </r>
  <r>
    <x v="6"/>
    <s v="C002"/>
    <x v="1"/>
    <s v="P007"/>
    <s v="64GB DDR5 DIMM"/>
    <n v="100"/>
    <n v="270"/>
    <n v="27000"/>
    <n v="90"/>
    <n v="10"/>
    <d v="2026-10-12T00:00:00"/>
    <d v="2026-10-17T00:00:00"/>
    <x v="2"/>
  </r>
  <r>
    <x v="7"/>
    <s v="C003"/>
    <x v="2"/>
    <s v="P008"/>
    <s v="100GbE Network Adapter"/>
    <n v="35"/>
    <n v="420"/>
    <n v="14700"/>
    <n v="20"/>
    <n v="15"/>
    <d v="2026-10-16T00:00:00"/>
    <d v="2026-10-13T00:00:00"/>
    <x v="0"/>
  </r>
  <r>
    <x v="8"/>
    <s v="C004"/>
    <x v="3"/>
    <s v="P002"/>
    <s v="32GB DDR5 DIMM"/>
    <n v="40"/>
    <n v="145"/>
    <n v="5800"/>
    <n v="120"/>
    <n v="0"/>
    <d v="2026-10-20T00:00:00"/>
    <d v="2026-10-21T00:00:00"/>
    <x v="1"/>
  </r>
  <r>
    <x v="9"/>
    <s v="C005"/>
    <x v="4"/>
    <s v="P005"/>
    <s v="2TB NVMe SSD"/>
    <n v="60"/>
    <n v="185"/>
    <n v="11100"/>
    <n v="45"/>
    <n v="15"/>
    <d v="2026-10-14T00:00:00"/>
    <d v="2026-10-16T00:00:00"/>
    <x v="2"/>
  </r>
  <r>
    <x v="10"/>
    <s v="C006"/>
    <x v="5"/>
    <s v="P001"/>
    <s v="1200W Server PSU"/>
    <n v="40"/>
    <n v="280"/>
    <n v="11200"/>
    <n v="65"/>
    <n v="0"/>
    <d v="2026-10-15T00:00:00"/>
    <d v="2026-10-18T00:00:00"/>
    <x v="1"/>
  </r>
  <r>
    <x v="11"/>
    <s v="C007"/>
    <x v="6"/>
    <s v="P004"/>
    <s v="25GbE Network Adapter"/>
    <n v="25"/>
    <n v="190"/>
    <n v="4750"/>
    <n v="30"/>
    <n v="0"/>
    <d v="2026-10-10T00:00:00"/>
    <d v="2026-10-19T00:00:00"/>
    <x v="1"/>
  </r>
  <r>
    <x v="12"/>
    <s v="C008"/>
    <x v="7"/>
    <s v="P003"/>
    <s v="1TB NVMe SSD"/>
    <n v="70"/>
    <n v="110"/>
    <n v="7700"/>
    <n v="80"/>
    <n v="0"/>
    <d v="2026-10-11T00:00:00"/>
    <d v="2026-10-20T00:00:00"/>
    <x v="1"/>
  </r>
  <r>
    <x v="13"/>
    <s v="C001"/>
    <x v="0"/>
    <s v="P007"/>
    <s v="64GB DDR5 DIMM"/>
    <n v="30"/>
    <n v="270"/>
    <n v="8100"/>
    <n v="90"/>
    <n v="0"/>
    <d v="2026-10-12T00:00:00"/>
    <d v="2026-10-22T00:00:00"/>
    <x v="1"/>
  </r>
  <r>
    <x v="14"/>
    <s v="C006"/>
    <x v="5"/>
    <s v="P008"/>
    <s v="100GbE Network Adapter"/>
    <n v="25"/>
    <n v="420"/>
    <n v="10500"/>
    <n v="20"/>
    <n v="5"/>
    <d v="2026-10-16T00:00:00"/>
    <d v="2026-10-15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41B1F5-E879-4CC4-A184-18F336507B8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7" firstHeaderRow="1" firstDataRow="1" firstDataCol="1"/>
  <pivotFields count="13">
    <pivotField dataField="1"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axis="axisRow" showAll="0">
      <items count="4">
        <item x="0"/>
        <item x="2"/>
        <item x="1"/>
        <item t="default"/>
      </items>
    </pivotField>
  </pivotFields>
  <rowFields count="1">
    <field x="12"/>
  </rowFields>
  <rowItems count="4">
    <i>
      <x/>
    </i>
    <i>
      <x v="1"/>
    </i>
    <i>
      <x v="2"/>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F053CE-CE52-4E3C-8251-26801A8458D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3">
    <pivotField showAll="0">
      <items count="16">
        <item x="0"/>
        <item x="1"/>
        <item x="2"/>
        <item x="3"/>
        <item x="4"/>
        <item x="5"/>
        <item x="6"/>
        <item x="7"/>
        <item x="8"/>
        <item x="9"/>
        <item x="10"/>
        <item x="11"/>
        <item x="12"/>
        <item x="13"/>
        <item x="14"/>
        <item t="default"/>
      </items>
    </pivotField>
    <pivotField showAll="0"/>
    <pivotField axis="axisRow" showAll="0" sortType="ascending">
      <items count="9">
        <item x="0"/>
        <item x="2"/>
        <item x="5"/>
        <item x="1"/>
        <item x="6"/>
        <item x="7"/>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numFmtId="14" showAll="0"/>
    <pivotField numFmtId="14" showAll="0"/>
    <pivotField showAll="0"/>
  </pivotFields>
  <rowFields count="1">
    <field x="2"/>
  </rowFields>
  <rowItems count="9">
    <i>
      <x v="4"/>
    </i>
    <i>
      <x v="5"/>
    </i>
    <i>
      <x v="7"/>
    </i>
    <i>
      <x v="6"/>
    </i>
    <i>
      <x v="2"/>
    </i>
    <i>
      <x v="1"/>
    </i>
    <i>
      <x v="3"/>
    </i>
    <i>
      <x/>
    </i>
    <i t="grand">
      <x/>
    </i>
  </rowItems>
  <colItems count="1">
    <i/>
  </colItems>
  <dataFields count="1">
    <dataField name="Sum of Order Value" fld="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B27908FE-F047-4FCA-AB66-4E989880998D}" sourceName="Customer">
  <pivotTables>
    <pivotTable tabId="8" name="PivotTable1"/>
  </pivotTables>
  <data>
    <tabular pivotCacheId="1578233119">
      <items count="8">
        <i x="0" s="1"/>
        <i x="2" s="1"/>
        <i x="5" s="1"/>
        <i x="1" s="1"/>
        <i x="6" s="1"/>
        <i x="7"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ABD9A09-DFF0-4396-BFA0-44C09638412C}" sourceName="Status">
  <pivotTables>
    <pivotTable tabId="8" name="PivotTable2"/>
  </pivotTables>
  <data>
    <tabular pivotCacheId="15782331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B8E9CF06-B7B0-48BC-AD06-1D6C31E0DAE0}" cache="Slicer_Customer" caption="Customer" rowHeight="257175"/>
  <slicer name="Status" xr10:uid="{C17D1EEF-196B-4039-9AA0-EC0C8E9F6287}" cache="Slicer_Status" caption="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60A92B-DC92-4F5F-A335-7C47E29490B4}" name="Table2" displayName="Table2" ref="B3:F4" totalsRowShown="0" headerRowDxfId="15" dataDxfId="14" headerRowBorderDxfId="22" tableBorderDxfId="23" totalsRowBorderDxfId="21">
  <autoFilter ref="B3:F4" xr:uid="{6E60A92B-DC92-4F5F-A335-7C47E29490B4}">
    <filterColumn colId="0" hiddenButton="1"/>
    <filterColumn colId="1" hiddenButton="1"/>
    <filterColumn colId="2" hiddenButton="1"/>
    <filterColumn colId="3" hiddenButton="1"/>
    <filterColumn colId="4" hiddenButton="1"/>
  </autoFilter>
  <tableColumns count="5">
    <tableColumn id="1" xr3:uid="{1761BCBB-D33C-4BEB-8F11-8BE9995B8496}" name="Open Orders" dataDxfId="20">
      <calculatedColumnFormula>COUNTA(Order_Tracker!A3:A17)</calculatedColumnFormula>
    </tableColumn>
    <tableColumn id="2" xr3:uid="{FA5FD68F-04D8-4DE3-ACF3-4CE435A45C8F}" name="Ready" dataDxfId="19">
      <calculatedColumnFormula>COUNTIF(Order_Tracker!M3:M17,"Ready")</calculatedColumnFormula>
    </tableColumn>
    <tableColumn id="3" xr3:uid="{4DDB71FB-308D-419C-922F-782264FB1118}" name="Incoming On Time" dataDxfId="18">
      <calculatedColumnFormula>COUNTIF(Order_Tracker!M3:M17,"Incoming - On Time")</calculatedColumnFormula>
    </tableColumn>
    <tableColumn id="4" xr3:uid="{781F5AE9-4032-441E-89FB-54D88265776A}" name="At Risk" dataDxfId="17">
      <calculatedColumnFormula>COUNTIF(Order_Tracker!M3:M17,"At Risk")</calculatedColumnFormula>
    </tableColumn>
    <tableColumn id="5" xr3:uid="{DF0E940D-5499-45FB-8710-1F6E92852AC2}" name="Inventory Shortages" dataDxfId="16">
      <calculatedColumnFormula>COUNTIF(Order_Tracker!J3:J17,"&gt;0")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A2F3117-4E83-4DCA-900E-BDDFE04EBC37}" name="Table12" displayName="Table12" ref="A2:M17" totalsRowShown="0" headerRowDxfId="0" headerRowBorderDxfId="41" tableBorderDxfId="40" totalsRowBorderDxfId="39">
  <autoFilter ref="A2:M17" xr:uid="{BA2F3117-4E83-4DCA-900E-BDDFE04EBC37}"/>
  <tableColumns count="13">
    <tableColumn id="1" xr3:uid="{34A84194-BDC6-4A86-A55A-9115C7C16C2C}" name="Order ID" dataDxfId="38"/>
    <tableColumn id="2" xr3:uid="{93203B4D-BA14-4037-BA89-27388F21DC64}" name="Customer_ID" dataDxfId="37"/>
    <tableColumn id="3" xr3:uid="{E9524A5F-9E9C-464F-9981-E063994F9BE5}" name="Customer" dataDxfId="36">
      <calculatedColumnFormula>_xlfn.XLOOKUP(B3,tblCustomers[Customer_ID],tblCustomers[Customer_Name])</calculatedColumnFormula>
    </tableColumn>
    <tableColumn id="4" xr3:uid="{6F06E35B-4941-4944-B987-B3DEC1BE82AC}" name="Product_ID" dataDxfId="35"/>
    <tableColumn id="5" xr3:uid="{CDDA8182-B3A4-4842-A4C0-5DE29CA7CAD5}" name="Product" dataDxfId="34">
      <calculatedColumnFormula>_xlfn.XLOOKUP(D3,tblProducts[Product_ID],tblProducts[Product_Name])</calculatedColumnFormula>
    </tableColumn>
    <tableColumn id="6" xr3:uid="{4E019B00-2C08-469C-81F6-3E10E8FC1C55}" name="Qty" dataDxfId="7"/>
    <tableColumn id="7" xr3:uid="{68BD5C1F-E340-4436-A436-58CCE94B1083}" name="Unit Price" dataDxfId="6">
      <calculatedColumnFormula>_xlfn.XLOOKUP(D3,tblProducts[Product_ID],tblProducts[Unit_Price])</calculatedColumnFormula>
    </tableColumn>
    <tableColumn id="8" xr3:uid="{F031A324-7868-4E85-83AE-40B0ACFDBBEB}" name="Order Value" dataDxfId="25">
      <calculatedColumnFormula>F3*G3</calculatedColumnFormula>
    </tableColumn>
    <tableColumn id="9" xr3:uid="{35C5A5EC-06C8-435E-A680-ED5EBAEFD319}" name="Inventory" dataDxfId="33">
      <calculatedColumnFormula>_xlfn.XLOOKUP(D3,tblProducts[Product_ID],tblProducts[Inventory_Qty])</calculatedColumnFormula>
    </tableColumn>
    <tableColumn id="10" xr3:uid="{D607A042-51FE-4965-A03C-887B2FCFA48C}" name="Shortage" dataDxfId="32">
      <calculatedColumnFormula>MAX(0,F3-I3)</calculatedColumnFormula>
    </tableColumn>
    <tableColumn id="11" xr3:uid="{E6593862-621D-427D-8658-DAD64650AC05}" name="Supplier ETA" dataDxfId="31">
      <calculatedColumnFormula>_xlfn.XLOOKUP(D3,tblPO[Product_ID],tblPO[ETA],"No Incoming PO")</calculatedColumnFormula>
    </tableColumn>
    <tableColumn id="12" xr3:uid="{E7C5C69C-F1FA-428B-B208-FF10910575CC}" name="Requested Date" dataDxfId="30"/>
    <tableColumn id="13" xr3:uid="{2C1B2616-692F-40D1-867D-0798F7454EB7}" name="Status" dataDxfId="26">
      <calculatedColumnFormula>IF(
    Table12[[#This Row],[Shortage]]=0,
    "Ready",
    IF(
        Table12[[#This Row],[Supplier ETA]]&lt;=Table12[[#This Row],[Requested Date]],
        "Incoming - On Time",
        "At Risk"
    )
)</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CCE2D4D-6C53-4018-AF32-2CDE0A5EEEB1}" name="tblCustomers" displayName="tblCustomers" ref="A1:D51" totalsRowShown="0">
  <autoFilter ref="A1:D51" xr:uid="{0CCE2D4D-6C53-4018-AF32-2CDE0A5EEEB1}"/>
  <tableColumns count="4">
    <tableColumn id="1" xr3:uid="{7CCF7EDB-3985-403B-A17D-742AE9CD3445}" name="Customer_ID"/>
    <tableColumn id="2" xr3:uid="{8B32258E-564F-43F2-9C42-A17327F1A4C0}" name="Customer_Name"/>
    <tableColumn id="3" xr3:uid="{1F9C1933-E3D6-4A25-AC05-701683EF1A8E}" name="Region"/>
    <tableColumn id="4" xr3:uid="{B1145B48-CF2A-4EED-9B2B-0544C1334CCB}" name="Account_Manag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701D24C-32CE-49CE-A489-94C3E8D63C97}" name="tblProducts" displayName="tblProducts" ref="A1:E9" totalsRowShown="0">
  <autoFilter ref="A1:E9" xr:uid="{5701D24C-32CE-49CE-A489-94C3E8D63C97}"/>
  <tableColumns count="5">
    <tableColumn id="1" xr3:uid="{DFAD067E-0B6B-470B-8C08-FD2A227C26FA}" name="Product_ID"/>
    <tableColumn id="2" xr3:uid="{8F7A10F6-B4C4-4795-B620-3F3E10C6A8E6}" name="Product_Name"/>
    <tableColumn id="3" xr3:uid="{D555A1D3-CC16-4FEB-8C81-DC36CC41A465}" name="Category"/>
    <tableColumn id="4" xr3:uid="{14720D25-4673-4B98-AA18-FF361527963E}" name="Unit_Price" dataDxfId="24"/>
    <tableColumn id="5" xr3:uid="{E080FB01-5241-47D6-AC13-9C5FCD5460A8}" name="Inventory_Q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AC879C-C23A-47A8-8622-E6040C0056BF}" name="tblOrders" displayName="tblOrders" ref="A1:F16" totalsRowShown="0">
  <autoFilter ref="A1:F16" xr:uid="{02AC879C-C23A-47A8-8622-E6040C0056BF}"/>
  <tableColumns count="6">
    <tableColumn id="1" xr3:uid="{48C1CD27-966F-4877-BF79-3B17E4FAD208}" name="Order_ID"/>
    <tableColumn id="2" xr3:uid="{F8E69254-58C4-4A91-B2C1-7F5A9A04A052}" name="Customer_ID"/>
    <tableColumn id="3" xr3:uid="{A20867E3-632D-4B50-AB31-0CBC921F305A}" name="Product_ID"/>
    <tableColumn id="4" xr3:uid="{8D9AA634-2311-4CA7-96F7-E65818424AE6}" name="Order_Date" dataDxfId="29"/>
    <tableColumn id="5" xr3:uid="{E88745A9-F5B7-4A44-BF12-DDCFBA8264A4}" name="Quantity"/>
    <tableColumn id="6" xr3:uid="{27E93C48-18A9-42B9-885C-CF3D2B40D201}" name="Requested_Date" dataDxfId="2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47C538D-1C92-4FB3-BC0A-970C43584858}" name="tblPO" displayName="tblPO" ref="A1:F31" totalsRowShown="0">
  <autoFilter ref="A1:F31" xr:uid="{E47C538D-1C92-4FB3-BC0A-970C43584858}"/>
  <tableColumns count="6">
    <tableColumn id="1" xr3:uid="{6F166CCE-E8A4-481D-9134-0C3AEC9F4156}" name="PO_ID"/>
    <tableColumn id="2" xr3:uid="{FC911868-1D7F-43C3-9DF9-59987343FBE6}" name="Product_ID"/>
    <tableColumn id="3" xr3:uid="{148B5FF2-6F68-49F9-BE02-9693BF07D973}" name="Supplier"/>
    <tableColumn id="4" xr3:uid="{7B41C5C0-3043-4C16-855B-2CD66A6F26AD}" name="Incoming_Qty"/>
    <tableColumn id="5" xr3:uid="{848D624F-0FD5-4186-B502-DC4E2017041A}" name="ETA" dataDxfId="27"/>
    <tableColumn id="6" xr3:uid="{7F8230EF-BCA6-482B-BB5C-5208D907C382}" name="PO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8C60A-1A68-4DB5-B037-4C4AAF63310B}">
  <dimension ref="B2:G13"/>
  <sheetViews>
    <sheetView showGridLines="0" tabSelected="1" zoomScale="80" zoomScaleNormal="80" workbookViewId="0">
      <selection activeCell="Q8" sqref="Q8"/>
    </sheetView>
  </sheetViews>
  <sheetFormatPr defaultRowHeight="15" x14ac:dyDescent="0.25"/>
  <cols>
    <col min="1" max="1" width="9" customWidth="1"/>
    <col min="2" max="2" width="23.140625" bestFit="1" customWidth="1"/>
    <col min="3" max="3" width="27.140625" bestFit="1" customWidth="1"/>
    <col min="4" max="4" width="25.140625" customWidth="1"/>
    <col min="5" max="5" width="15" customWidth="1"/>
    <col min="6" max="6" width="25.5703125" customWidth="1"/>
  </cols>
  <sheetData>
    <row r="2" spans="2:7" ht="28.5" x14ac:dyDescent="0.45">
      <c r="B2" s="31" t="s">
        <v>211</v>
      </c>
      <c r="C2" s="31"/>
      <c r="D2" s="31"/>
      <c r="E2" s="31"/>
      <c r="F2" s="31"/>
    </row>
    <row r="3" spans="2:7" ht="17.25" x14ac:dyDescent="0.3">
      <c r="B3" s="22" t="s">
        <v>212</v>
      </c>
      <c r="C3" s="23" t="s">
        <v>213</v>
      </c>
      <c r="D3" s="23" t="s">
        <v>224</v>
      </c>
      <c r="E3" s="23" t="s">
        <v>214</v>
      </c>
      <c r="F3" s="24" t="s">
        <v>215</v>
      </c>
    </row>
    <row r="4" spans="2:7" ht="17.25" x14ac:dyDescent="0.3">
      <c r="B4" s="25">
        <f>COUNTA(Order_Tracker!A3:A17)</f>
        <v>15</v>
      </c>
      <c r="C4" s="26">
        <f>COUNTIF(Order_Tracker!M3:M17,"Ready")</f>
        <v>9</v>
      </c>
      <c r="D4" s="26">
        <f>COUNTIF(Order_Tracker!M3:M17,"Incoming - On Time")</f>
        <v>3</v>
      </c>
      <c r="E4" s="26">
        <f>COUNTIF(Order_Tracker!M3:M17,"At Risk")</f>
        <v>3</v>
      </c>
      <c r="F4" s="27">
        <f>COUNTIF(Order_Tracker!J3:J17,"&gt;0")</f>
        <v>6</v>
      </c>
    </row>
    <row r="5" spans="2:7" ht="17.25" x14ac:dyDescent="0.3">
      <c r="B5" s="28" t="s">
        <v>216</v>
      </c>
      <c r="C5" s="29"/>
      <c r="D5" s="29"/>
      <c r="E5" s="29"/>
      <c r="F5" s="30"/>
    </row>
    <row r="6" spans="2:7" ht="17.25" x14ac:dyDescent="0.3">
      <c r="B6" s="37">
        <f>SUM(Order_Tracker!H3:H17)</f>
        <v>165750</v>
      </c>
      <c r="C6" s="38"/>
      <c r="D6" s="38"/>
      <c r="E6" s="38"/>
      <c r="F6" s="39"/>
    </row>
    <row r="7" spans="2:7" ht="185.25" customHeight="1" x14ac:dyDescent="0.3">
      <c r="B7" s="18"/>
      <c r="C7" s="18"/>
      <c r="D7" s="18"/>
      <c r="E7" s="18"/>
      <c r="F7" s="18"/>
    </row>
    <row r="8" spans="2:7" ht="228" customHeight="1" x14ac:dyDescent="0.25">
      <c r="B8" s="17"/>
      <c r="C8" s="17"/>
      <c r="D8" s="17"/>
      <c r="E8" s="17"/>
      <c r="F8" s="17"/>
    </row>
    <row r="9" spans="2:7" ht="28.5" x14ac:dyDescent="0.45">
      <c r="B9" s="32" t="s">
        <v>225</v>
      </c>
      <c r="C9" s="32"/>
      <c r="D9" s="32"/>
      <c r="E9" s="32"/>
      <c r="F9" s="32"/>
      <c r="G9" s="32"/>
    </row>
    <row r="10" spans="2:7" ht="17.25" x14ac:dyDescent="0.3">
      <c r="B10" s="19" t="s">
        <v>201</v>
      </c>
      <c r="C10" s="19" t="s">
        <v>202</v>
      </c>
      <c r="D10" s="19" t="s">
        <v>207</v>
      </c>
      <c r="E10" s="19" t="s">
        <v>226</v>
      </c>
      <c r="F10" s="19" t="s">
        <v>158</v>
      </c>
      <c r="G10" s="19" t="s">
        <v>210</v>
      </c>
    </row>
    <row r="11" spans="2:7" ht="17.25" x14ac:dyDescent="0.3">
      <c r="B11" s="20" t="s">
        <v>5</v>
      </c>
      <c r="C11" s="20" t="s">
        <v>117</v>
      </c>
      <c r="D11" s="20">
        <v>35</v>
      </c>
      <c r="E11" s="35">
        <v>46307</v>
      </c>
      <c r="F11" s="35">
        <v>46310</v>
      </c>
      <c r="G11" s="20" t="s">
        <v>214</v>
      </c>
    </row>
    <row r="12" spans="2:7" ht="17.25" x14ac:dyDescent="0.3">
      <c r="B12" s="21" t="s">
        <v>12</v>
      </c>
      <c r="C12" s="21" t="s">
        <v>135</v>
      </c>
      <c r="D12" s="21">
        <v>15</v>
      </c>
      <c r="E12" s="36">
        <v>46308</v>
      </c>
      <c r="F12" s="36">
        <v>46311</v>
      </c>
      <c r="G12" s="21" t="s">
        <v>214</v>
      </c>
    </row>
    <row r="13" spans="2:7" ht="17.25" x14ac:dyDescent="0.3">
      <c r="B13" s="20" t="s">
        <v>22</v>
      </c>
      <c r="C13" s="20" t="s">
        <v>135</v>
      </c>
      <c r="D13" s="20">
        <v>5</v>
      </c>
      <c r="E13" s="35">
        <v>46310</v>
      </c>
      <c r="F13" s="35">
        <v>46311</v>
      </c>
      <c r="G13" s="20" t="s">
        <v>214</v>
      </c>
    </row>
  </sheetData>
  <mergeCells count="6">
    <mergeCell ref="B2:F2"/>
    <mergeCell ref="B5:F5"/>
    <mergeCell ref="B6:F6"/>
    <mergeCell ref="B7:F7"/>
    <mergeCell ref="B8:F8"/>
    <mergeCell ref="B9:G9"/>
  </mergeCells>
  <conditionalFormatting sqref="G11:G13">
    <cfRule type="containsText" dxfId="5" priority="1" operator="containsText" text="At Risk">
      <formula>NOT(ISERROR(SEARCH("At Risk",G11)))</formula>
    </cfRule>
  </conditionalFormatting>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39A20-13CE-41C8-95F2-BF942A1CE79D}">
  <dimension ref="A1:M17"/>
  <sheetViews>
    <sheetView zoomScaleNormal="100" workbookViewId="0">
      <selection activeCell="Q9" sqref="Q9"/>
    </sheetView>
  </sheetViews>
  <sheetFormatPr defaultRowHeight="15" x14ac:dyDescent="0.25"/>
  <cols>
    <col min="1" max="1" width="9.7109375" customWidth="1"/>
    <col min="2" max="2" width="13.5703125" customWidth="1"/>
    <col min="3" max="3" width="24" customWidth="1"/>
    <col min="4" max="4" width="11.42578125" customWidth="1"/>
    <col min="5" max="5" width="15.7109375" customWidth="1"/>
    <col min="6" max="6" width="5.85546875" bestFit="1" customWidth="1"/>
    <col min="7" max="7" width="10.5703125" customWidth="1"/>
    <col min="8" max="8" width="12.42578125" customWidth="1"/>
    <col min="9" max="9" width="10" customWidth="1"/>
    <col min="10" max="10" width="10.140625" customWidth="1"/>
    <col min="11" max="11" width="13.7109375" customWidth="1"/>
    <col min="12" max="12" width="16" customWidth="1"/>
    <col min="13" max="13" width="20.140625" customWidth="1"/>
  </cols>
  <sheetData>
    <row r="1" spans="1:13" ht="28.5" customHeight="1" x14ac:dyDescent="0.45">
      <c r="A1" s="31" t="s">
        <v>227</v>
      </c>
      <c r="B1" s="31"/>
      <c r="C1" s="31"/>
      <c r="D1" s="31"/>
      <c r="E1" s="31"/>
      <c r="F1" s="31"/>
      <c r="G1" s="31"/>
      <c r="H1" s="31"/>
      <c r="I1" s="31"/>
      <c r="J1" s="31"/>
      <c r="K1" s="31"/>
      <c r="L1" s="31"/>
      <c r="M1" s="31"/>
    </row>
    <row r="2" spans="1:13" s="10" customFormat="1" ht="38.25" customHeight="1" x14ac:dyDescent="0.25">
      <c r="A2" s="40" t="s">
        <v>200</v>
      </c>
      <c r="B2" s="41" t="s">
        <v>0</v>
      </c>
      <c r="C2" s="41" t="s">
        <v>201</v>
      </c>
      <c r="D2" s="41" t="s">
        <v>111</v>
      </c>
      <c r="E2" s="41" t="s">
        <v>202</v>
      </c>
      <c r="F2" s="41" t="s">
        <v>203</v>
      </c>
      <c r="G2" s="41" t="s">
        <v>204</v>
      </c>
      <c r="H2" s="41" t="s">
        <v>205</v>
      </c>
      <c r="I2" s="41" t="s">
        <v>206</v>
      </c>
      <c r="J2" s="41" t="s">
        <v>207</v>
      </c>
      <c r="K2" s="41" t="s">
        <v>208</v>
      </c>
      <c r="L2" s="41" t="s">
        <v>209</v>
      </c>
      <c r="M2" s="42" t="s">
        <v>210</v>
      </c>
    </row>
    <row r="3" spans="1:13" x14ac:dyDescent="0.25">
      <c r="A3" s="4" t="s">
        <v>140</v>
      </c>
      <c r="B3" s="2" t="s">
        <v>4</v>
      </c>
      <c r="C3" s="2" t="str">
        <f>_xlfn.XLOOKUP(B3,tblCustomers[Customer_ID],tblCustomers[Customer_Name])</f>
        <v>Alpha Data Systems</v>
      </c>
      <c r="D3" s="2" t="s">
        <v>116</v>
      </c>
      <c r="E3" s="2" t="str">
        <f>_xlfn.XLOOKUP(D3,tblProducts[Product_ID],tblProducts[Product_Name])</f>
        <v>1200W Server PSU</v>
      </c>
      <c r="F3" s="33">
        <v>100</v>
      </c>
      <c r="G3" s="15">
        <f>_xlfn.XLOOKUP(D3,tblProducts[Product_ID],tblProducts[Unit_Price])</f>
        <v>280</v>
      </c>
      <c r="H3" s="15">
        <f>F3*G3</f>
        <v>28000</v>
      </c>
      <c r="I3" s="2">
        <f>_xlfn.XLOOKUP(D3,tblProducts[Product_ID],tblProducts[Inventory_Qty])</f>
        <v>65</v>
      </c>
      <c r="J3" s="2">
        <f>MAX(0,F3-I3)</f>
        <v>35</v>
      </c>
      <c r="K3" s="3">
        <f>_xlfn.XLOOKUP(D3,tblPO[Product_ID],tblPO[ETA],"No Incoming PO")</f>
        <v>46310</v>
      </c>
      <c r="L3" s="3">
        <v>46307</v>
      </c>
      <c r="M3" s="5" t="str">
        <f>IF(
    Table12[[#This Row],[Shortage]]=0,
    "Ready",
    IF(
        Table12[[#This Row],[Supplier ETA]]&lt;=Table12[[#This Row],[Requested Date]],
        "Incoming - On Time",
        "At Risk"
    )
)</f>
        <v>At Risk</v>
      </c>
    </row>
    <row r="4" spans="1:13" x14ac:dyDescent="0.25">
      <c r="A4" s="4" t="s">
        <v>141</v>
      </c>
      <c r="B4" s="2" t="s">
        <v>8</v>
      </c>
      <c r="C4" s="2" t="str">
        <f>_xlfn.XLOOKUP(B4,tblCustomers[Customer_ID],tblCustomers[Customer_Name])</f>
        <v>Nova Cloud Technologies</v>
      </c>
      <c r="D4" s="2" t="s">
        <v>122</v>
      </c>
      <c r="E4" s="2" t="str">
        <f>_xlfn.XLOOKUP(D4,tblProducts[Product_ID],tblProducts[Product_Name])</f>
        <v>1TB NVMe SSD</v>
      </c>
      <c r="F4" s="33">
        <v>50</v>
      </c>
      <c r="G4" s="15">
        <f>_xlfn.XLOOKUP(D4,tblProducts[Product_ID],tblProducts[Unit_Price])</f>
        <v>110</v>
      </c>
      <c r="H4" s="15">
        <f t="shared" ref="H4:H17" si="0">F4*G4</f>
        <v>5500</v>
      </c>
      <c r="I4" s="2">
        <f>_xlfn.XLOOKUP(D4,tblProducts[Product_ID],tblProducts[Inventory_Qty])</f>
        <v>80</v>
      </c>
      <c r="J4" s="2">
        <f t="shared" ref="J4:J17" si="1">MAX(0,F4-I4)</f>
        <v>0</v>
      </c>
      <c r="K4" s="3">
        <f>_xlfn.XLOOKUP(D4,tblPO[Product_ID],tblPO[ETA],"No Incoming PO")</f>
        <v>46306</v>
      </c>
      <c r="L4" s="3">
        <v>46310</v>
      </c>
      <c r="M4" s="5" t="str">
        <f>IF(
    Table12[[#This Row],[Shortage]]=0,
    "Ready",
    IF(
        Table12[[#This Row],[Supplier ETA]]&lt;=Table12[[#This Row],[Requested Date]],
        "Incoming - On Time",
        "At Risk"
    )
)</f>
        <v>Ready</v>
      </c>
    </row>
    <row r="5" spans="1:13" x14ac:dyDescent="0.25">
      <c r="A5" s="4" t="s">
        <v>142</v>
      </c>
      <c r="B5" s="2" t="s">
        <v>11</v>
      </c>
      <c r="C5" s="2" t="str">
        <f>_xlfn.XLOOKUP(B5,tblCustomers[Customer_ID],tblCustomers[Customer_Name])</f>
        <v>Apex Computing</v>
      </c>
      <c r="D5" s="2" t="s">
        <v>119</v>
      </c>
      <c r="E5" s="2" t="str">
        <f>_xlfn.XLOOKUP(D5,tblProducts[Product_ID],tblProducts[Product_Name])</f>
        <v>32GB DDR5 DIMM</v>
      </c>
      <c r="F5" s="33">
        <v>80</v>
      </c>
      <c r="G5" s="15">
        <f>_xlfn.XLOOKUP(D5,tblProducts[Product_ID],tblProducts[Unit_Price])</f>
        <v>145</v>
      </c>
      <c r="H5" s="15">
        <f t="shared" si="0"/>
        <v>11600</v>
      </c>
      <c r="I5" s="2">
        <f>_xlfn.XLOOKUP(D5,tblProducts[Product_ID],tblProducts[Inventory_Qty])</f>
        <v>120</v>
      </c>
      <c r="J5" s="2">
        <f t="shared" si="1"/>
        <v>0</v>
      </c>
      <c r="K5" s="3">
        <f>_xlfn.XLOOKUP(D5,tblPO[Product_ID],tblPO[ETA],"No Incoming PO")</f>
        <v>46315</v>
      </c>
      <c r="L5" s="3">
        <v>46313</v>
      </c>
      <c r="M5" s="5" t="str">
        <f>IF(
    Table12[[#This Row],[Shortage]]=0,
    "Ready",
    IF(
        Table12[[#This Row],[Supplier ETA]]&lt;=Table12[[#This Row],[Requested Date]],
        "Incoming - On Time",
        "At Risk"
    )
)</f>
        <v>Ready</v>
      </c>
    </row>
    <row r="6" spans="1:13" x14ac:dyDescent="0.25">
      <c r="A6" s="4" t="s">
        <v>143</v>
      </c>
      <c r="B6" s="2" t="s">
        <v>14</v>
      </c>
      <c r="C6" s="2" t="str">
        <f>_xlfn.XLOOKUP(B6,tblCustomers[Customer_ID],tblCustomers[Customer_Name])</f>
        <v>Vertex AI Systems</v>
      </c>
      <c r="D6" s="2" t="s">
        <v>125</v>
      </c>
      <c r="E6" s="2" t="str">
        <f>_xlfn.XLOOKUP(D6,tblProducts[Product_ID],tblProducts[Product_Name])</f>
        <v>25GbE Network Adapter</v>
      </c>
      <c r="F6" s="33">
        <v>50</v>
      </c>
      <c r="G6" s="15">
        <f>_xlfn.XLOOKUP(D6,tblProducts[Product_ID],tblProducts[Unit_Price])</f>
        <v>190</v>
      </c>
      <c r="H6" s="15">
        <f t="shared" si="0"/>
        <v>9500</v>
      </c>
      <c r="I6" s="2">
        <f>_xlfn.XLOOKUP(D6,tblProducts[Product_ID],tblProducts[Inventory_Qty])</f>
        <v>30</v>
      </c>
      <c r="J6" s="2">
        <f t="shared" si="1"/>
        <v>20</v>
      </c>
      <c r="K6" s="3">
        <f>_xlfn.XLOOKUP(D6,tblPO[Product_ID],tblPO[ETA],"No Incoming PO")</f>
        <v>46305</v>
      </c>
      <c r="L6" s="3">
        <v>46306</v>
      </c>
      <c r="M6" s="5" t="str">
        <f>IF(
    Table12[[#This Row],[Shortage]]=0,
    "Ready",
    IF(
        Table12[[#This Row],[Supplier ETA]]&lt;=Table12[[#This Row],[Requested Date]],
        "Incoming - On Time",
        "At Risk"
    )
)</f>
        <v>Incoming - On Time</v>
      </c>
    </row>
    <row r="7" spans="1:13" x14ac:dyDescent="0.25">
      <c r="A7" s="4" t="s">
        <v>144</v>
      </c>
      <c r="B7" s="2" t="s">
        <v>18</v>
      </c>
      <c r="C7" s="2" t="str">
        <f>_xlfn.XLOOKUP(B7,tblCustomers[Customer_ID],tblCustomers[Customer_Name])</f>
        <v>Quantum Server Solutions</v>
      </c>
      <c r="D7" s="2" t="s">
        <v>130</v>
      </c>
      <c r="E7" s="2" t="str">
        <f>_xlfn.XLOOKUP(D7,tblProducts[Product_ID],tblProducts[Product_Name])</f>
        <v>1600W Server PSU</v>
      </c>
      <c r="F7" s="33">
        <v>20</v>
      </c>
      <c r="G7" s="15">
        <f>_xlfn.XLOOKUP(D7,tblProducts[Product_ID],tblProducts[Unit_Price])</f>
        <v>350</v>
      </c>
      <c r="H7" s="15">
        <f t="shared" si="0"/>
        <v>7000</v>
      </c>
      <c r="I7" s="2">
        <f>_xlfn.XLOOKUP(D7,tblProducts[Product_ID],tblProducts[Inventory_Qty])</f>
        <v>25</v>
      </c>
      <c r="J7" s="2">
        <f t="shared" si="1"/>
        <v>0</v>
      </c>
      <c r="K7" s="3">
        <f>_xlfn.XLOOKUP(D7,tblPO[Product_ID],tblPO[ETA],"No Incoming PO")</f>
        <v>46313</v>
      </c>
      <c r="L7" s="3">
        <v>46315</v>
      </c>
      <c r="M7" s="5" t="str">
        <f>IF(
    Table12[[#This Row],[Shortage]]=0,
    "Ready",
    IF(
        Table12[[#This Row],[Supplier ETA]]&lt;=Table12[[#This Row],[Requested Date]],
        "Incoming - On Time",
        "At Risk"
    )
)</f>
        <v>Ready</v>
      </c>
    </row>
    <row r="8" spans="1:13" x14ac:dyDescent="0.25">
      <c r="A8" s="4" t="s">
        <v>145</v>
      </c>
      <c r="B8" s="2" t="s">
        <v>4</v>
      </c>
      <c r="C8" s="2" t="str">
        <f>_xlfn.XLOOKUP(B8,tblCustomers[Customer_ID],tblCustomers[Customer_Name])</f>
        <v>Alpha Data Systems</v>
      </c>
      <c r="D8" s="2" t="s">
        <v>122</v>
      </c>
      <c r="E8" s="2" t="str">
        <f>_xlfn.XLOOKUP(D8,tblProducts[Product_ID],tblProducts[Product_Name])</f>
        <v>1TB NVMe SSD</v>
      </c>
      <c r="F8" s="33">
        <v>30</v>
      </c>
      <c r="G8" s="15">
        <f>_xlfn.XLOOKUP(D8,tblProducts[Product_ID],tblProducts[Unit_Price])</f>
        <v>110</v>
      </c>
      <c r="H8" s="15">
        <f t="shared" si="0"/>
        <v>3300</v>
      </c>
      <c r="I8" s="2">
        <f>_xlfn.XLOOKUP(D8,tblProducts[Product_ID],tblProducts[Inventory_Qty])</f>
        <v>80</v>
      </c>
      <c r="J8" s="2">
        <f t="shared" si="1"/>
        <v>0</v>
      </c>
      <c r="K8" s="3">
        <f>_xlfn.XLOOKUP(D8,tblPO[Product_ID],tblPO[ETA],"No Incoming PO")</f>
        <v>46306</v>
      </c>
      <c r="L8" s="3">
        <v>46309</v>
      </c>
      <c r="M8" s="5" t="str">
        <f>IF(
    Table12[[#This Row],[Shortage]]=0,
    "Ready",
    IF(
        Table12[[#This Row],[Supplier ETA]]&lt;=Table12[[#This Row],[Requested Date]],
        "Incoming - On Time",
        "At Risk"
    )
)</f>
        <v>Ready</v>
      </c>
    </row>
    <row r="9" spans="1:13" x14ac:dyDescent="0.25">
      <c r="A9" s="4" t="s">
        <v>146</v>
      </c>
      <c r="B9" s="2" t="s">
        <v>8</v>
      </c>
      <c r="C9" s="2" t="str">
        <f>_xlfn.XLOOKUP(B9,tblCustomers[Customer_ID],tblCustomers[Customer_Name])</f>
        <v>Nova Cloud Technologies</v>
      </c>
      <c r="D9" s="2" t="s">
        <v>132</v>
      </c>
      <c r="E9" s="2" t="str">
        <f>_xlfn.XLOOKUP(D9,tblProducts[Product_ID],tblProducts[Product_Name])</f>
        <v>64GB DDR5 DIMM</v>
      </c>
      <c r="F9" s="33">
        <v>100</v>
      </c>
      <c r="G9" s="15">
        <f>_xlfn.XLOOKUP(D9,tblProducts[Product_ID],tblProducts[Unit_Price])</f>
        <v>270</v>
      </c>
      <c r="H9" s="15">
        <f t="shared" si="0"/>
        <v>27000</v>
      </c>
      <c r="I9" s="2">
        <f>_xlfn.XLOOKUP(D9,tblProducts[Product_ID],tblProducts[Inventory_Qty])</f>
        <v>90</v>
      </c>
      <c r="J9" s="2">
        <f t="shared" si="1"/>
        <v>10</v>
      </c>
      <c r="K9" s="3">
        <f>_xlfn.XLOOKUP(D9,tblPO[Product_ID],tblPO[ETA],"No Incoming PO")</f>
        <v>46307</v>
      </c>
      <c r="L9" s="3">
        <v>46312</v>
      </c>
      <c r="M9" s="5" t="str">
        <f>IF(
    Table12[[#This Row],[Shortage]]=0,
    "Ready",
    IF(
        Table12[[#This Row],[Supplier ETA]]&lt;=Table12[[#This Row],[Requested Date]],
        "Incoming - On Time",
        "At Risk"
    )
)</f>
        <v>Incoming - On Time</v>
      </c>
    </row>
    <row r="10" spans="1:13" x14ac:dyDescent="0.25">
      <c r="A10" s="4" t="s">
        <v>147</v>
      </c>
      <c r="B10" s="2" t="s">
        <v>11</v>
      </c>
      <c r="C10" s="2" t="str">
        <f>_xlfn.XLOOKUP(B10,tblCustomers[Customer_ID],tblCustomers[Customer_Name])</f>
        <v>Apex Computing</v>
      </c>
      <c r="D10" s="2" t="s">
        <v>134</v>
      </c>
      <c r="E10" s="2" t="str">
        <f>_xlfn.XLOOKUP(D10,tblProducts[Product_ID],tblProducts[Product_Name])</f>
        <v>100GbE Network Adapter</v>
      </c>
      <c r="F10" s="33">
        <v>35</v>
      </c>
      <c r="G10" s="15">
        <f>_xlfn.XLOOKUP(D10,tblProducts[Product_ID],tblProducts[Unit_Price])</f>
        <v>420</v>
      </c>
      <c r="H10" s="15">
        <f t="shared" si="0"/>
        <v>14700</v>
      </c>
      <c r="I10" s="2">
        <f>_xlfn.XLOOKUP(D10,tblProducts[Product_ID],tblProducts[Inventory_Qty])</f>
        <v>20</v>
      </c>
      <c r="J10" s="2">
        <f t="shared" si="1"/>
        <v>15</v>
      </c>
      <c r="K10" s="3">
        <f>_xlfn.XLOOKUP(D10,tblPO[Product_ID],tblPO[ETA],"No Incoming PO")</f>
        <v>46311</v>
      </c>
      <c r="L10" s="3">
        <v>46308</v>
      </c>
      <c r="M10" s="5" t="str">
        <f>IF(
    Table12[[#This Row],[Shortage]]=0,
    "Ready",
    IF(
        Table12[[#This Row],[Supplier ETA]]&lt;=Table12[[#This Row],[Requested Date]],
        "Incoming - On Time",
        "At Risk"
    )
)</f>
        <v>At Risk</v>
      </c>
    </row>
    <row r="11" spans="1:13" x14ac:dyDescent="0.25">
      <c r="A11" s="4" t="s">
        <v>148</v>
      </c>
      <c r="B11" s="2" t="s">
        <v>14</v>
      </c>
      <c r="C11" s="2" t="str">
        <f>_xlfn.XLOOKUP(B11,tblCustomers[Customer_ID],tblCustomers[Customer_Name])</f>
        <v>Vertex AI Systems</v>
      </c>
      <c r="D11" s="2" t="s">
        <v>119</v>
      </c>
      <c r="E11" s="2" t="str">
        <f>_xlfn.XLOOKUP(D11,tblProducts[Product_ID],tblProducts[Product_Name])</f>
        <v>32GB DDR5 DIMM</v>
      </c>
      <c r="F11" s="33">
        <v>40</v>
      </c>
      <c r="G11" s="15">
        <f>_xlfn.XLOOKUP(D11,tblProducts[Product_ID],tblProducts[Unit_Price])</f>
        <v>145</v>
      </c>
      <c r="H11" s="15">
        <f t="shared" si="0"/>
        <v>5800</v>
      </c>
      <c r="I11" s="2">
        <f>_xlfn.XLOOKUP(D11,tblProducts[Product_ID],tblProducts[Inventory_Qty])</f>
        <v>120</v>
      </c>
      <c r="J11" s="2">
        <f t="shared" si="1"/>
        <v>0</v>
      </c>
      <c r="K11" s="3">
        <f>_xlfn.XLOOKUP(D11,tblPO[Product_ID],tblPO[ETA],"No Incoming PO")</f>
        <v>46315</v>
      </c>
      <c r="L11" s="3">
        <v>46316</v>
      </c>
      <c r="M11" s="5" t="str">
        <f>IF(
    Table12[[#This Row],[Shortage]]=0,
    "Ready",
    IF(
        Table12[[#This Row],[Supplier ETA]]&lt;=Table12[[#This Row],[Requested Date]],
        "Incoming - On Time",
        "At Risk"
    )
)</f>
        <v>Ready</v>
      </c>
    </row>
    <row r="12" spans="1:13" x14ac:dyDescent="0.25">
      <c r="A12" s="4" t="s">
        <v>149</v>
      </c>
      <c r="B12" s="2" t="s">
        <v>18</v>
      </c>
      <c r="C12" s="2" t="str">
        <f>_xlfn.XLOOKUP(B12,tblCustomers[Customer_ID],tblCustomers[Customer_Name])</f>
        <v>Quantum Server Solutions</v>
      </c>
      <c r="D12" s="2" t="s">
        <v>128</v>
      </c>
      <c r="E12" s="2" t="str">
        <f>_xlfn.XLOOKUP(D12,tblProducts[Product_ID],tblProducts[Product_Name])</f>
        <v>2TB NVMe SSD</v>
      </c>
      <c r="F12" s="33">
        <v>60</v>
      </c>
      <c r="G12" s="15">
        <f>_xlfn.XLOOKUP(D12,tblProducts[Product_ID],tblProducts[Unit_Price])</f>
        <v>185</v>
      </c>
      <c r="H12" s="15">
        <f t="shared" si="0"/>
        <v>11100</v>
      </c>
      <c r="I12" s="2">
        <f>_xlfn.XLOOKUP(D12,tblProducts[Product_ID],tblProducts[Inventory_Qty])</f>
        <v>45</v>
      </c>
      <c r="J12" s="2">
        <f t="shared" si="1"/>
        <v>15</v>
      </c>
      <c r="K12" s="3">
        <f>_xlfn.XLOOKUP(D12,tblPO[Product_ID],tblPO[ETA],"No Incoming PO")</f>
        <v>46309</v>
      </c>
      <c r="L12" s="3">
        <v>46311</v>
      </c>
      <c r="M12" s="5" t="str">
        <f>IF(
    Table12[[#This Row],[Shortage]]=0,
    "Ready",
    IF(
        Table12[[#This Row],[Supplier ETA]]&lt;=Table12[[#This Row],[Requested Date]],
        "Incoming - On Time",
        "At Risk"
    )
)</f>
        <v>Incoming - On Time</v>
      </c>
    </row>
    <row r="13" spans="1:13" x14ac:dyDescent="0.25">
      <c r="A13" s="4" t="s">
        <v>150</v>
      </c>
      <c r="B13" s="2" t="s">
        <v>21</v>
      </c>
      <c r="C13" s="2" t="str">
        <f>_xlfn.XLOOKUP(B13,tblCustomers[Customer_ID],tblCustomers[Customer_Name])</f>
        <v>NextGen Data Center</v>
      </c>
      <c r="D13" s="2" t="s">
        <v>116</v>
      </c>
      <c r="E13" s="2" t="str">
        <f>_xlfn.XLOOKUP(D13,tblProducts[Product_ID],tblProducts[Product_Name])</f>
        <v>1200W Server PSU</v>
      </c>
      <c r="F13" s="33">
        <v>40</v>
      </c>
      <c r="G13" s="15">
        <f>_xlfn.XLOOKUP(D13,tblProducts[Product_ID],tblProducts[Unit_Price])</f>
        <v>280</v>
      </c>
      <c r="H13" s="15">
        <f t="shared" si="0"/>
        <v>11200</v>
      </c>
      <c r="I13" s="2">
        <f>_xlfn.XLOOKUP(D13,tblProducts[Product_ID],tblProducts[Inventory_Qty])</f>
        <v>65</v>
      </c>
      <c r="J13" s="2">
        <f t="shared" si="1"/>
        <v>0</v>
      </c>
      <c r="K13" s="3">
        <f>_xlfn.XLOOKUP(D13,tblPO[Product_ID],tblPO[ETA],"No Incoming PO")</f>
        <v>46310</v>
      </c>
      <c r="L13" s="3">
        <v>46313</v>
      </c>
      <c r="M13" s="5" t="str">
        <f>IF(
    Table12[[#This Row],[Shortage]]=0,
    "Ready",
    IF(
        Table12[[#This Row],[Supplier ETA]]&lt;=Table12[[#This Row],[Requested Date]],
        "Incoming - On Time",
        "At Risk"
    )
)</f>
        <v>Ready</v>
      </c>
    </row>
    <row r="14" spans="1:13" x14ac:dyDescent="0.25">
      <c r="A14" s="4" t="s">
        <v>151</v>
      </c>
      <c r="B14" s="2" t="s">
        <v>23</v>
      </c>
      <c r="C14" s="2" t="str">
        <f>_xlfn.XLOOKUP(B14,tblCustomers[Customer_ID],tblCustomers[Customer_Name])</f>
        <v>Orion Computing</v>
      </c>
      <c r="D14" s="2" t="s">
        <v>125</v>
      </c>
      <c r="E14" s="2" t="str">
        <f>_xlfn.XLOOKUP(D14,tblProducts[Product_ID],tblProducts[Product_Name])</f>
        <v>25GbE Network Adapter</v>
      </c>
      <c r="F14" s="33">
        <v>25</v>
      </c>
      <c r="G14" s="15">
        <f>_xlfn.XLOOKUP(D14,tblProducts[Product_ID],tblProducts[Unit_Price])</f>
        <v>190</v>
      </c>
      <c r="H14" s="15">
        <f t="shared" si="0"/>
        <v>4750</v>
      </c>
      <c r="I14" s="2">
        <f>_xlfn.XLOOKUP(D14,tblProducts[Product_ID],tblProducts[Inventory_Qty])</f>
        <v>30</v>
      </c>
      <c r="J14" s="2">
        <f t="shared" si="1"/>
        <v>0</v>
      </c>
      <c r="K14" s="3">
        <f>_xlfn.XLOOKUP(D14,tblPO[Product_ID],tblPO[ETA],"No Incoming PO")</f>
        <v>46305</v>
      </c>
      <c r="L14" s="3">
        <v>46314</v>
      </c>
      <c r="M14" s="5" t="str">
        <f>IF(
    Table12[[#This Row],[Shortage]]=0,
    "Ready",
    IF(
        Table12[[#This Row],[Supplier ETA]]&lt;=Table12[[#This Row],[Requested Date]],
        "Incoming - On Time",
        "At Risk"
    )
)</f>
        <v>Ready</v>
      </c>
    </row>
    <row r="15" spans="1:13" x14ac:dyDescent="0.25">
      <c r="A15" s="4" t="s">
        <v>152</v>
      </c>
      <c r="B15" s="2" t="s">
        <v>25</v>
      </c>
      <c r="C15" s="2" t="str">
        <f>_xlfn.XLOOKUP(B15,tblCustomers[Customer_ID],tblCustomers[Customer_Name])</f>
        <v>Pacific Cloud Systems</v>
      </c>
      <c r="D15" s="2" t="s">
        <v>122</v>
      </c>
      <c r="E15" s="2" t="str">
        <f>_xlfn.XLOOKUP(D15,tblProducts[Product_ID],tblProducts[Product_Name])</f>
        <v>1TB NVMe SSD</v>
      </c>
      <c r="F15" s="33">
        <v>70</v>
      </c>
      <c r="G15" s="15">
        <f>_xlfn.XLOOKUP(D15,tblProducts[Product_ID],tblProducts[Unit_Price])</f>
        <v>110</v>
      </c>
      <c r="H15" s="15">
        <f t="shared" si="0"/>
        <v>7700</v>
      </c>
      <c r="I15" s="2">
        <f>_xlfn.XLOOKUP(D15,tblProducts[Product_ID],tblProducts[Inventory_Qty])</f>
        <v>80</v>
      </c>
      <c r="J15" s="2">
        <f t="shared" si="1"/>
        <v>0</v>
      </c>
      <c r="K15" s="3">
        <f>_xlfn.XLOOKUP(D15,tblPO[Product_ID],tblPO[ETA],"No Incoming PO")</f>
        <v>46306</v>
      </c>
      <c r="L15" s="3">
        <v>46315</v>
      </c>
      <c r="M15" s="5" t="str">
        <f>IF(
    Table12[[#This Row],[Shortage]]=0,
    "Ready",
    IF(
        Table12[[#This Row],[Supplier ETA]]&lt;=Table12[[#This Row],[Requested Date]],
        "Incoming - On Time",
        "At Risk"
    )
)</f>
        <v>Ready</v>
      </c>
    </row>
    <row r="16" spans="1:13" x14ac:dyDescent="0.25">
      <c r="A16" s="4" t="s">
        <v>153</v>
      </c>
      <c r="B16" s="2" t="s">
        <v>4</v>
      </c>
      <c r="C16" s="2" t="str">
        <f>_xlfn.XLOOKUP(B16,tblCustomers[Customer_ID],tblCustomers[Customer_Name])</f>
        <v>Alpha Data Systems</v>
      </c>
      <c r="D16" s="2" t="s">
        <v>132</v>
      </c>
      <c r="E16" s="2" t="str">
        <f>_xlfn.XLOOKUP(D16,tblProducts[Product_ID],tblProducts[Product_Name])</f>
        <v>64GB DDR5 DIMM</v>
      </c>
      <c r="F16" s="33">
        <v>30</v>
      </c>
      <c r="G16" s="15">
        <f>_xlfn.XLOOKUP(D16,tblProducts[Product_ID],tblProducts[Unit_Price])</f>
        <v>270</v>
      </c>
      <c r="H16" s="15">
        <f t="shared" si="0"/>
        <v>8100</v>
      </c>
      <c r="I16" s="2">
        <f>_xlfn.XLOOKUP(D16,tblProducts[Product_ID],tblProducts[Inventory_Qty])</f>
        <v>90</v>
      </c>
      <c r="J16" s="2">
        <f t="shared" si="1"/>
        <v>0</v>
      </c>
      <c r="K16" s="3">
        <f>_xlfn.XLOOKUP(D16,tblPO[Product_ID],tblPO[ETA],"No Incoming PO")</f>
        <v>46307</v>
      </c>
      <c r="L16" s="3">
        <v>46317</v>
      </c>
      <c r="M16" s="5" t="str">
        <f>IF(
    Table12[[#This Row],[Shortage]]=0,
    "Ready",
    IF(
        Table12[[#This Row],[Supplier ETA]]&lt;=Table12[[#This Row],[Requested Date]],
        "Incoming - On Time",
        "At Risk"
    )
)</f>
        <v>Ready</v>
      </c>
    </row>
    <row r="17" spans="1:13" x14ac:dyDescent="0.25">
      <c r="A17" s="6" t="s">
        <v>154</v>
      </c>
      <c r="B17" s="7" t="s">
        <v>21</v>
      </c>
      <c r="C17" s="7" t="str">
        <f>_xlfn.XLOOKUP(B17,tblCustomers[Customer_ID],tblCustomers[Customer_Name])</f>
        <v>NextGen Data Center</v>
      </c>
      <c r="D17" s="7" t="s">
        <v>134</v>
      </c>
      <c r="E17" s="7" t="str">
        <f>_xlfn.XLOOKUP(D17,tblProducts[Product_ID],tblProducts[Product_Name])</f>
        <v>100GbE Network Adapter</v>
      </c>
      <c r="F17" s="34">
        <v>25</v>
      </c>
      <c r="G17" s="16">
        <f>_xlfn.XLOOKUP(D17,tblProducts[Product_ID],tblProducts[Unit_Price])</f>
        <v>420</v>
      </c>
      <c r="H17" s="16">
        <f t="shared" si="0"/>
        <v>10500</v>
      </c>
      <c r="I17" s="7">
        <f>_xlfn.XLOOKUP(D17,tblProducts[Product_ID],tblProducts[Inventory_Qty])</f>
        <v>20</v>
      </c>
      <c r="J17" s="7">
        <f t="shared" si="1"/>
        <v>5</v>
      </c>
      <c r="K17" s="8">
        <f>_xlfn.XLOOKUP(D17,tblPO[Product_ID],tblPO[ETA],"No Incoming PO")</f>
        <v>46311</v>
      </c>
      <c r="L17" s="8">
        <v>46310</v>
      </c>
      <c r="M17" s="9" t="str">
        <f>IF(
    Table12[[#This Row],[Shortage]]=0,
    "Ready",
    IF(
        Table12[[#This Row],[Supplier ETA]]&lt;=Table12[[#This Row],[Requested Date]],
        "Incoming - On Time",
        "At Risk"
    )
)</f>
        <v>At Risk</v>
      </c>
    </row>
  </sheetData>
  <mergeCells count="1">
    <mergeCell ref="A1:M1"/>
  </mergeCells>
  <conditionalFormatting sqref="M3:M17">
    <cfRule type="containsText" dxfId="4" priority="2" operator="containsText" text="At Risk">
      <formula>NOT(ISERROR(SEARCH("At Risk",M3)))</formula>
    </cfRule>
    <cfRule type="containsText" dxfId="3" priority="3" operator="containsText" text="Incoming - On Time">
      <formula>NOT(ISERROR(SEARCH("Incoming - On Time",M3)))</formula>
    </cfRule>
    <cfRule type="containsText" dxfId="2" priority="4" operator="containsText" text="Ready">
      <formula>NOT(ISERROR(SEARCH("Ready",M3)))</formula>
    </cfRule>
  </conditionalFormatting>
  <conditionalFormatting sqref="J3:J17">
    <cfRule type="cellIs" dxfId="1" priority="1" operator="greaterThan">
      <formula>0</formula>
    </cfRule>
  </conditionalFormatting>
  <pageMargins left="0.25" right="0.25" top="0.75" bottom="0.75" header="0.3" footer="0.3"/>
  <pageSetup scale="7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D08F-D7D5-45C8-8560-53F4160E853E}">
  <dimension ref="A2:E12"/>
  <sheetViews>
    <sheetView workbookViewId="0">
      <selection activeCell="B4" sqref="B4"/>
    </sheetView>
  </sheetViews>
  <sheetFormatPr defaultRowHeight="15" x14ac:dyDescent="0.25"/>
  <cols>
    <col min="1" max="1" width="24.140625" bestFit="1" customWidth="1"/>
    <col min="2" max="2" width="18.5703125" bestFit="1" customWidth="1"/>
    <col min="4" max="4" width="18.42578125" bestFit="1" customWidth="1"/>
    <col min="5" max="5" width="17" bestFit="1" customWidth="1"/>
  </cols>
  <sheetData>
    <row r="2" spans="1:5" x14ac:dyDescent="0.25">
      <c r="A2" t="s">
        <v>223</v>
      </c>
      <c r="D2" t="s">
        <v>222</v>
      </c>
    </row>
    <row r="3" spans="1:5" x14ac:dyDescent="0.25">
      <c r="A3" s="11" t="s">
        <v>217</v>
      </c>
      <c r="B3" t="s">
        <v>220</v>
      </c>
      <c r="D3" s="11" t="s">
        <v>217</v>
      </c>
      <c r="E3" t="s">
        <v>219</v>
      </c>
    </row>
    <row r="4" spans="1:5" x14ac:dyDescent="0.25">
      <c r="A4" s="12" t="s">
        <v>24</v>
      </c>
      <c r="B4" s="14">
        <v>4750</v>
      </c>
      <c r="D4" s="12" t="s">
        <v>214</v>
      </c>
      <c r="E4" s="13">
        <v>3</v>
      </c>
    </row>
    <row r="5" spans="1:5" x14ac:dyDescent="0.25">
      <c r="A5" s="12" t="s">
        <v>26</v>
      </c>
      <c r="B5" s="14">
        <v>7700</v>
      </c>
      <c r="D5" s="12" t="s">
        <v>221</v>
      </c>
      <c r="E5" s="13">
        <v>3</v>
      </c>
    </row>
    <row r="6" spans="1:5" x14ac:dyDescent="0.25">
      <c r="A6" s="12" t="s">
        <v>15</v>
      </c>
      <c r="B6" s="14">
        <v>15300</v>
      </c>
      <c r="D6" s="12" t="s">
        <v>213</v>
      </c>
      <c r="E6" s="13">
        <v>9</v>
      </c>
    </row>
    <row r="7" spans="1:5" x14ac:dyDescent="0.25">
      <c r="A7" s="12" t="s">
        <v>19</v>
      </c>
      <c r="B7" s="14">
        <v>18100</v>
      </c>
      <c r="D7" s="12" t="s">
        <v>218</v>
      </c>
      <c r="E7" s="13">
        <v>15</v>
      </c>
    </row>
    <row r="8" spans="1:5" x14ac:dyDescent="0.25">
      <c r="A8" s="12" t="s">
        <v>22</v>
      </c>
      <c r="B8" s="14">
        <v>21700</v>
      </c>
    </row>
    <row r="9" spans="1:5" x14ac:dyDescent="0.25">
      <c r="A9" s="12" t="s">
        <v>12</v>
      </c>
      <c r="B9" s="14">
        <v>26300</v>
      </c>
    </row>
    <row r="10" spans="1:5" x14ac:dyDescent="0.25">
      <c r="A10" s="12" t="s">
        <v>9</v>
      </c>
      <c r="B10" s="14">
        <v>32500</v>
      </c>
    </row>
    <row r="11" spans="1:5" x14ac:dyDescent="0.25">
      <c r="A11" s="12" t="s">
        <v>5</v>
      </c>
      <c r="B11" s="14">
        <v>39400</v>
      </c>
    </row>
    <row r="12" spans="1:5" x14ac:dyDescent="0.25">
      <c r="A12" s="12" t="s">
        <v>218</v>
      </c>
      <c r="B12" s="14">
        <v>165750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493F-EA68-4B2F-9774-75022F425012}">
  <dimension ref="A1:D51"/>
  <sheetViews>
    <sheetView workbookViewId="0">
      <selection activeCell="I20" sqref="I20"/>
    </sheetView>
  </sheetViews>
  <sheetFormatPr defaultRowHeight="15" x14ac:dyDescent="0.25"/>
  <cols>
    <col min="1" max="1" width="14.28515625" customWidth="1"/>
    <col min="2" max="2" width="25.42578125" bestFit="1" customWidth="1"/>
    <col min="3" max="3" width="10.28515625" customWidth="1"/>
    <col min="4" max="4" width="18.5703125"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13</v>
      </c>
      <c r="D4" t="s">
        <v>7</v>
      </c>
    </row>
    <row r="5" spans="1:4" x14ac:dyDescent="0.25">
      <c r="A5" t="s">
        <v>14</v>
      </c>
      <c r="B5" t="s">
        <v>15</v>
      </c>
      <c r="C5" t="s">
        <v>16</v>
      </c>
      <c r="D5" t="s">
        <v>17</v>
      </c>
    </row>
    <row r="6" spans="1:4" x14ac:dyDescent="0.25">
      <c r="A6" t="s">
        <v>18</v>
      </c>
      <c r="B6" t="s">
        <v>19</v>
      </c>
      <c r="C6" t="s">
        <v>6</v>
      </c>
      <c r="D6" t="s">
        <v>20</v>
      </c>
    </row>
    <row r="7" spans="1:4" x14ac:dyDescent="0.25">
      <c r="A7" t="s">
        <v>21</v>
      </c>
      <c r="B7" t="s">
        <v>22</v>
      </c>
      <c r="C7" t="s">
        <v>6</v>
      </c>
      <c r="D7" t="s">
        <v>10</v>
      </c>
    </row>
    <row r="8" spans="1:4" x14ac:dyDescent="0.25">
      <c r="A8" t="s">
        <v>23</v>
      </c>
      <c r="B8" t="s">
        <v>24</v>
      </c>
      <c r="C8" t="s">
        <v>13</v>
      </c>
      <c r="D8" t="s">
        <v>17</v>
      </c>
    </row>
    <row r="9" spans="1:4" x14ac:dyDescent="0.25">
      <c r="A9" t="s">
        <v>25</v>
      </c>
      <c r="B9" t="s">
        <v>26</v>
      </c>
      <c r="C9" t="s">
        <v>6</v>
      </c>
      <c r="D9" t="s">
        <v>7</v>
      </c>
    </row>
    <row r="10" spans="1:4" x14ac:dyDescent="0.25">
      <c r="A10" t="s">
        <v>27</v>
      </c>
      <c r="B10" t="s">
        <v>28</v>
      </c>
      <c r="C10" t="s">
        <v>16</v>
      </c>
      <c r="D10" t="s">
        <v>20</v>
      </c>
    </row>
    <row r="11" spans="1:4" x14ac:dyDescent="0.25">
      <c r="A11" t="s">
        <v>29</v>
      </c>
      <c r="B11" t="s">
        <v>30</v>
      </c>
      <c r="C11" t="s">
        <v>13</v>
      </c>
      <c r="D11" t="s">
        <v>10</v>
      </c>
    </row>
    <row r="12" spans="1:4" x14ac:dyDescent="0.25">
      <c r="A12" t="s">
        <v>31</v>
      </c>
      <c r="B12" t="s">
        <v>32</v>
      </c>
      <c r="C12" t="s">
        <v>6</v>
      </c>
      <c r="D12" t="s">
        <v>17</v>
      </c>
    </row>
    <row r="13" spans="1:4" x14ac:dyDescent="0.25">
      <c r="A13" t="s">
        <v>33</v>
      </c>
      <c r="B13" t="s">
        <v>34</v>
      </c>
      <c r="C13" t="s">
        <v>16</v>
      </c>
      <c r="D13" t="s">
        <v>7</v>
      </c>
    </row>
    <row r="14" spans="1:4" x14ac:dyDescent="0.25">
      <c r="A14" t="s">
        <v>35</v>
      </c>
      <c r="B14" t="s">
        <v>36</v>
      </c>
      <c r="C14" t="s">
        <v>13</v>
      </c>
      <c r="D14" t="s">
        <v>20</v>
      </c>
    </row>
    <row r="15" spans="1:4" x14ac:dyDescent="0.25">
      <c r="A15" t="s">
        <v>37</v>
      </c>
      <c r="B15" t="s">
        <v>38</v>
      </c>
      <c r="C15" t="s">
        <v>6</v>
      </c>
      <c r="D15" t="s">
        <v>10</v>
      </c>
    </row>
    <row r="16" spans="1:4" x14ac:dyDescent="0.25">
      <c r="A16" t="s">
        <v>39</v>
      </c>
      <c r="B16" t="s">
        <v>40</v>
      </c>
      <c r="C16" t="s">
        <v>16</v>
      </c>
      <c r="D16" t="s">
        <v>17</v>
      </c>
    </row>
    <row r="17" spans="1:4" x14ac:dyDescent="0.25">
      <c r="A17" t="s">
        <v>41</v>
      </c>
      <c r="B17" t="s">
        <v>42</v>
      </c>
      <c r="C17" t="s">
        <v>13</v>
      </c>
      <c r="D17" t="s">
        <v>7</v>
      </c>
    </row>
    <row r="18" spans="1:4" x14ac:dyDescent="0.25">
      <c r="A18" t="s">
        <v>43</v>
      </c>
      <c r="B18" t="s">
        <v>44</v>
      </c>
      <c r="C18" t="s">
        <v>6</v>
      </c>
      <c r="D18" t="s">
        <v>20</v>
      </c>
    </row>
    <row r="19" spans="1:4" x14ac:dyDescent="0.25">
      <c r="A19" t="s">
        <v>45</v>
      </c>
      <c r="B19" t="s">
        <v>46</v>
      </c>
      <c r="C19" t="s">
        <v>16</v>
      </c>
      <c r="D19" t="s">
        <v>10</v>
      </c>
    </row>
    <row r="20" spans="1:4" x14ac:dyDescent="0.25">
      <c r="A20" t="s">
        <v>47</v>
      </c>
      <c r="B20" t="s">
        <v>48</v>
      </c>
      <c r="C20" t="s">
        <v>6</v>
      </c>
      <c r="D20" t="s">
        <v>17</v>
      </c>
    </row>
    <row r="21" spans="1:4" x14ac:dyDescent="0.25">
      <c r="A21" t="s">
        <v>49</v>
      </c>
      <c r="B21" t="s">
        <v>50</v>
      </c>
      <c r="C21" t="s">
        <v>13</v>
      </c>
      <c r="D21" t="s">
        <v>7</v>
      </c>
    </row>
    <row r="22" spans="1:4" x14ac:dyDescent="0.25">
      <c r="A22" t="s">
        <v>51</v>
      </c>
      <c r="B22" t="s">
        <v>52</v>
      </c>
      <c r="C22" t="s">
        <v>16</v>
      </c>
      <c r="D22" t="s">
        <v>20</v>
      </c>
    </row>
    <row r="23" spans="1:4" x14ac:dyDescent="0.25">
      <c r="A23" t="s">
        <v>53</v>
      </c>
      <c r="B23" t="s">
        <v>54</v>
      </c>
      <c r="C23" t="s">
        <v>6</v>
      </c>
      <c r="D23" t="s">
        <v>10</v>
      </c>
    </row>
    <row r="24" spans="1:4" x14ac:dyDescent="0.25">
      <c r="A24" t="s">
        <v>55</v>
      </c>
      <c r="B24" t="s">
        <v>56</v>
      </c>
      <c r="C24" t="s">
        <v>13</v>
      </c>
      <c r="D24" t="s">
        <v>17</v>
      </c>
    </row>
    <row r="25" spans="1:4" x14ac:dyDescent="0.25">
      <c r="A25" t="s">
        <v>57</v>
      </c>
      <c r="B25" t="s">
        <v>58</v>
      </c>
      <c r="C25" t="s">
        <v>16</v>
      </c>
      <c r="D25" t="s">
        <v>7</v>
      </c>
    </row>
    <row r="26" spans="1:4" x14ac:dyDescent="0.25">
      <c r="A26" t="s">
        <v>59</v>
      </c>
      <c r="B26" t="s">
        <v>60</v>
      </c>
      <c r="C26" t="s">
        <v>6</v>
      </c>
      <c r="D26" t="s">
        <v>20</v>
      </c>
    </row>
    <row r="27" spans="1:4" x14ac:dyDescent="0.25">
      <c r="A27" t="s">
        <v>61</v>
      </c>
      <c r="B27" t="s">
        <v>62</v>
      </c>
      <c r="C27" t="s">
        <v>13</v>
      </c>
      <c r="D27" t="s">
        <v>10</v>
      </c>
    </row>
    <row r="28" spans="1:4" x14ac:dyDescent="0.25">
      <c r="A28" t="s">
        <v>63</v>
      </c>
      <c r="B28" t="s">
        <v>64</v>
      </c>
      <c r="C28" t="s">
        <v>16</v>
      </c>
      <c r="D28" t="s">
        <v>17</v>
      </c>
    </row>
    <row r="29" spans="1:4" x14ac:dyDescent="0.25">
      <c r="A29" t="s">
        <v>65</v>
      </c>
      <c r="B29" t="s">
        <v>66</v>
      </c>
      <c r="C29" t="s">
        <v>6</v>
      </c>
      <c r="D29" t="s">
        <v>7</v>
      </c>
    </row>
    <row r="30" spans="1:4" x14ac:dyDescent="0.25">
      <c r="A30" t="s">
        <v>67</v>
      </c>
      <c r="B30" t="s">
        <v>68</v>
      </c>
      <c r="C30" t="s">
        <v>13</v>
      </c>
      <c r="D30" t="s">
        <v>20</v>
      </c>
    </row>
    <row r="31" spans="1:4" x14ac:dyDescent="0.25">
      <c r="A31" t="s">
        <v>69</v>
      </c>
      <c r="B31" t="s">
        <v>70</v>
      </c>
      <c r="C31" t="s">
        <v>16</v>
      </c>
      <c r="D31" t="s">
        <v>10</v>
      </c>
    </row>
    <row r="32" spans="1:4" x14ac:dyDescent="0.25">
      <c r="A32" t="s">
        <v>71</v>
      </c>
      <c r="B32" t="s">
        <v>72</v>
      </c>
      <c r="C32" t="s">
        <v>6</v>
      </c>
      <c r="D32" t="s">
        <v>17</v>
      </c>
    </row>
    <row r="33" spans="1:4" x14ac:dyDescent="0.25">
      <c r="A33" t="s">
        <v>73</v>
      </c>
      <c r="B33" t="s">
        <v>74</v>
      </c>
      <c r="C33" t="s">
        <v>13</v>
      </c>
      <c r="D33" t="s">
        <v>7</v>
      </c>
    </row>
    <row r="34" spans="1:4" x14ac:dyDescent="0.25">
      <c r="A34" t="s">
        <v>75</v>
      </c>
      <c r="B34" t="s">
        <v>76</v>
      </c>
      <c r="C34" t="s">
        <v>16</v>
      </c>
      <c r="D34" t="s">
        <v>20</v>
      </c>
    </row>
    <row r="35" spans="1:4" x14ac:dyDescent="0.25">
      <c r="A35" t="s">
        <v>77</v>
      </c>
      <c r="B35" t="s">
        <v>78</v>
      </c>
      <c r="C35" t="s">
        <v>6</v>
      </c>
      <c r="D35" t="s">
        <v>10</v>
      </c>
    </row>
    <row r="36" spans="1:4" x14ac:dyDescent="0.25">
      <c r="A36" t="s">
        <v>79</v>
      </c>
      <c r="B36" t="s">
        <v>80</v>
      </c>
      <c r="C36" t="s">
        <v>13</v>
      </c>
      <c r="D36" t="s">
        <v>17</v>
      </c>
    </row>
    <row r="37" spans="1:4" x14ac:dyDescent="0.25">
      <c r="A37" t="s">
        <v>81</v>
      </c>
      <c r="B37" t="s">
        <v>82</v>
      </c>
      <c r="C37" t="s">
        <v>16</v>
      </c>
      <c r="D37" t="s">
        <v>7</v>
      </c>
    </row>
    <row r="38" spans="1:4" x14ac:dyDescent="0.25">
      <c r="A38" t="s">
        <v>83</v>
      </c>
      <c r="B38" t="s">
        <v>84</v>
      </c>
      <c r="C38" t="s">
        <v>6</v>
      </c>
      <c r="D38" t="s">
        <v>20</v>
      </c>
    </row>
    <row r="39" spans="1:4" x14ac:dyDescent="0.25">
      <c r="A39" t="s">
        <v>85</v>
      </c>
      <c r="B39" t="s">
        <v>86</v>
      </c>
      <c r="C39" t="s">
        <v>13</v>
      </c>
      <c r="D39" t="s">
        <v>10</v>
      </c>
    </row>
    <row r="40" spans="1:4" x14ac:dyDescent="0.25">
      <c r="A40" t="s">
        <v>87</v>
      </c>
      <c r="B40" t="s">
        <v>88</v>
      </c>
      <c r="C40" t="s">
        <v>16</v>
      </c>
      <c r="D40" t="s">
        <v>17</v>
      </c>
    </row>
    <row r="41" spans="1:4" x14ac:dyDescent="0.25">
      <c r="A41" t="s">
        <v>89</v>
      </c>
      <c r="B41" t="s">
        <v>90</v>
      </c>
      <c r="C41" t="s">
        <v>6</v>
      </c>
      <c r="D41" t="s">
        <v>7</v>
      </c>
    </row>
    <row r="42" spans="1:4" x14ac:dyDescent="0.25">
      <c r="A42" t="s">
        <v>91</v>
      </c>
      <c r="B42" t="s">
        <v>92</v>
      </c>
      <c r="C42" t="s">
        <v>13</v>
      </c>
      <c r="D42" t="s">
        <v>20</v>
      </c>
    </row>
    <row r="43" spans="1:4" x14ac:dyDescent="0.25">
      <c r="A43" t="s">
        <v>93</v>
      </c>
      <c r="B43" t="s">
        <v>94</v>
      </c>
      <c r="C43" t="s">
        <v>16</v>
      </c>
      <c r="D43" t="s">
        <v>10</v>
      </c>
    </row>
    <row r="44" spans="1:4" x14ac:dyDescent="0.25">
      <c r="A44" t="s">
        <v>95</v>
      </c>
      <c r="B44" t="s">
        <v>96</v>
      </c>
      <c r="C44" t="s">
        <v>6</v>
      </c>
      <c r="D44" t="s">
        <v>17</v>
      </c>
    </row>
    <row r="45" spans="1:4" x14ac:dyDescent="0.25">
      <c r="A45" t="s">
        <v>97</v>
      </c>
      <c r="B45" t="s">
        <v>98</v>
      </c>
      <c r="C45" t="s">
        <v>13</v>
      </c>
      <c r="D45" t="s">
        <v>7</v>
      </c>
    </row>
    <row r="46" spans="1:4" x14ac:dyDescent="0.25">
      <c r="A46" t="s">
        <v>99</v>
      </c>
      <c r="B46" t="s">
        <v>100</v>
      </c>
      <c r="C46" t="s">
        <v>16</v>
      </c>
      <c r="D46" t="s">
        <v>20</v>
      </c>
    </row>
    <row r="47" spans="1:4" x14ac:dyDescent="0.25">
      <c r="A47" t="s">
        <v>101</v>
      </c>
      <c r="B47" t="s">
        <v>102</v>
      </c>
      <c r="C47" t="s">
        <v>6</v>
      </c>
      <c r="D47" t="s">
        <v>10</v>
      </c>
    </row>
    <row r="48" spans="1:4" x14ac:dyDescent="0.25">
      <c r="A48" t="s">
        <v>103</v>
      </c>
      <c r="B48" t="s">
        <v>104</v>
      </c>
      <c r="C48" t="s">
        <v>13</v>
      </c>
      <c r="D48" t="s">
        <v>17</v>
      </c>
    </row>
    <row r="49" spans="1:4" x14ac:dyDescent="0.25">
      <c r="A49" t="s">
        <v>105</v>
      </c>
      <c r="B49" t="s">
        <v>106</v>
      </c>
      <c r="C49" t="s">
        <v>6</v>
      </c>
      <c r="D49" t="s">
        <v>7</v>
      </c>
    </row>
    <row r="50" spans="1:4" x14ac:dyDescent="0.25">
      <c r="A50" t="s">
        <v>107</v>
      </c>
      <c r="B50" t="s">
        <v>108</v>
      </c>
      <c r="C50" t="s">
        <v>16</v>
      </c>
      <c r="D50" t="s">
        <v>20</v>
      </c>
    </row>
    <row r="51" spans="1:4" x14ac:dyDescent="0.25">
      <c r="A51" t="s">
        <v>109</v>
      </c>
      <c r="B51" t="s">
        <v>110</v>
      </c>
      <c r="C51" t="s">
        <v>13</v>
      </c>
      <c r="D51" t="s">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C88A-09AB-4641-B44E-19979811E983}">
  <dimension ref="A1:E9"/>
  <sheetViews>
    <sheetView workbookViewId="0">
      <selection activeCell="D2" sqref="D2:D9"/>
    </sheetView>
  </sheetViews>
  <sheetFormatPr defaultRowHeight="15" x14ac:dyDescent="0.25"/>
  <cols>
    <col min="1" max="1" width="12.5703125" customWidth="1"/>
    <col min="2" max="2" width="15.7109375" customWidth="1"/>
    <col min="3" max="3" width="10.7109375" customWidth="1"/>
    <col min="4" max="4" width="12" customWidth="1"/>
    <col min="5" max="5" width="15.140625" customWidth="1"/>
  </cols>
  <sheetData>
    <row r="1" spans="1:5" x14ac:dyDescent="0.25">
      <c r="A1" t="s">
        <v>111</v>
      </c>
      <c r="B1" t="s">
        <v>112</v>
      </c>
      <c r="C1" t="s">
        <v>113</v>
      </c>
      <c r="D1" t="s">
        <v>114</v>
      </c>
      <c r="E1" t="s">
        <v>115</v>
      </c>
    </row>
    <row r="2" spans="1:5" x14ac:dyDescent="0.25">
      <c r="A2" t="s">
        <v>116</v>
      </c>
      <c r="B2" t="s">
        <v>117</v>
      </c>
      <c r="C2" t="s">
        <v>118</v>
      </c>
      <c r="D2" s="14">
        <v>280</v>
      </c>
      <c r="E2">
        <v>65</v>
      </c>
    </row>
    <row r="3" spans="1:5" x14ac:dyDescent="0.25">
      <c r="A3" t="s">
        <v>119</v>
      </c>
      <c r="B3" t="s">
        <v>120</v>
      </c>
      <c r="C3" t="s">
        <v>121</v>
      </c>
      <c r="D3" s="14">
        <v>145</v>
      </c>
      <c r="E3">
        <v>120</v>
      </c>
    </row>
    <row r="4" spans="1:5" x14ac:dyDescent="0.25">
      <c r="A4" t="s">
        <v>122</v>
      </c>
      <c r="B4" t="s">
        <v>123</v>
      </c>
      <c r="C4" t="s">
        <v>124</v>
      </c>
      <c r="D4" s="14">
        <v>110</v>
      </c>
      <c r="E4">
        <v>80</v>
      </c>
    </row>
    <row r="5" spans="1:5" x14ac:dyDescent="0.25">
      <c r="A5" t="s">
        <v>125</v>
      </c>
      <c r="B5" t="s">
        <v>126</v>
      </c>
      <c r="C5" t="s">
        <v>127</v>
      </c>
      <c r="D5" s="14">
        <v>190</v>
      </c>
      <c r="E5">
        <v>30</v>
      </c>
    </row>
    <row r="6" spans="1:5" x14ac:dyDescent="0.25">
      <c r="A6" t="s">
        <v>128</v>
      </c>
      <c r="B6" t="s">
        <v>129</v>
      </c>
      <c r="C6" t="s">
        <v>124</v>
      </c>
      <c r="D6" s="14">
        <v>185</v>
      </c>
      <c r="E6">
        <v>45</v>
      </c>
    </row>
    <row r="7" spans="1:5" x14ac:dyDescent="0.25">
      <c r="A7" t="s">
        <v>130</v>
      </c>
      <c r="B7" t="s">
        <v>131</v>
      </c>
      <c r="C7" t="s">
        <v>118</v>
      </c>
      <c r="D7" s="14">
        <v>350</v>
      </c>
      <c r="E7">
        <v>25</v>
      </c>
    </row>
    <row r="8" spans="1:5" x14ac:dyDescent="0.25">
      <c r="A8" t="s">
        <v>132</v>
      </c>
      <c r="B8" t="s">
        <v>133</v>
      </c>
      <c r="C8" t="s">
        <v>121</v>
      </c>
      <c r="D8" s="14">
        <v>270</v>
      </c>
      <c r="E8">
        <v>90</v>
      </c>
    </row>
    <row r="9" spans="1:5" x14ac:dyDescent="0.25">
      <c r="A9" t="s">
        <v>134</v>
      </c>
      <c r="B9" t="s">
        <v>135</v>
      </c>
      <c r="C9" t="s">
        <v>127</v>
      </c>
      <c r="D9" s="14">
        <v>420</v>
      </c>
      <c r="E9">
        <v>20</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188F8-F2A7-41D1-B6E5-CAC0A9BC2647}">
  <dimension ref="A1:F16"/>
  <sheetViews>
    <sheetView workbookViewId="0">
      <selection activeCell="I9" sqref="I9"/>
    </sheetView>
  </sheetViews>
  <sheetFormatPr defaultRowHeight="15" x14ac:dyDescent="0.25"/>
  <cols>
    <col min="1" max="1" width="10.85546875" customWidth="1"/>
    <col min="2" max="2" width="14.28515625" customWidth="1"/>
    <col min="3" max="3" width="12.5703125" customWidth="1"/>
    <col min="4" max="4" width="13.140625" customWidth="1"/>
    <col min="5" max="5" width="10.140625" customWidth="1"/>
    <col min="6" max="6" width="17.5703125" customWidth="1"/>
  </cols>
  <sheetData>
    <row r="1" spans="1:6" x14ac:dyDescent="0.25">
      <c r="A1" t="s">
        <v>136</v>
      </c>
      <c r="B1" t="s">
        <v>0</v>
      </c>
      <c r="C1" t="s">
        <v>111</v>
      </c>
      <c r="D1" t="s">
        <v>137</v>
      </c>
      <c r="E1" t="s">
        <v>138</v>
      </c>
      <c r="F1" t="s">
        <v>139</v>
      </c>
    </row>
    <row r="2" spans="1:6" x14ac:dyDescent="0.25">
      <c r="A2" t="s">
        <v>140</v>
      </c>
      <c r="B2" t="s">
        <v>4</v>
      </c>
      <c r="C2" t="s">
        <v>116</v>
      </c>
      <c r="D2" s="1">
        <v>46285</v>
      </c>
      <c r="E2">
        <v>100</v>
      </c>
      <c r="F2" s="1">
        <v>46307</v>
      </c>
    </row>
    <row r="3" spans="1:6" x14ac:dyDescent="0.25">
      <c r="A3" t="s">
        <v>141</v>
      </c>
      <c r="B3" t="s">
        <v>8</v>
      </c>
      <c r="C3" t="s">
        <v>122</v>
      </c>
      <c r="D3" s="1">
        <v>46287</v>
      </c>
      <c r="E3">
        <v>50</v>
      </c>
      <c r="F3" s="1">
        <v>46310</v>
      </c>
    </row>
    <row r="4" spans="1:6" x14ac:dyDescent="0.25">
      <c r="A4" t="s">
        <v>142</v>
      </c>
      <c r="B4" t="s">
        <v>11</v>
      </c>
      <c r="C4" t="s">
        <v>119</v>
      </c>
      <c r="D4" s="1">
        <v>46290</v>
      </c>
      <c r="E4">
        <v>80</v>
      </c>
      <c r="F4" s="1">
        <v>46313</v>
      </c>
    </row>
    <row r="5" spans="1:6" x14ac:dyDescent="0.25">
      <c r="A5" t="s">
        <v>143</v>
      </c>
      <c r="B5" t="s">
        <v>14</v>
      </c>
      <c r="C5" t="s">
        <v>125</v>
      </c>
      <c r="D5" s="1">
        <v>46291</v>
      </c>
      <c r="E5">
        <v>50</v>
      </c>
      <c r="F5" s="1">
        <v>46306</v>
      </c>
    </row>
    <row r="6" spans="1:6" x14ac:dyDescent="0.25">
      <c r="A6" t="s">
        <v>144</v>
      </c>
      <c r="B6" t="s">
        <v>18</v>
      </c>
      <c r="C6" t="s">
        <v>130</v>
      </c>
      <c r="D6" s="1">
        <v>46292</v>
      </c>
      <c r="E6">
        <v>20</v>
      </c>
      <c r="F6" s="1">
        <v>46315</v>
      </c>
    </row>
    <row r="7" spans="1:6" x14ac:dyDescent="0.25">
      <c r="A7" t="s">
        <v>145</v>
      </c>
      <c r="B7" t="s">
        <v>4</v>
      </c>
      <c r="C7" t="s">
        <v>122</v>
      </c>
      <c r="D7" s="1">
        <v>46293</v>
      </c>
      <c r="E7">
        <v>30</v>
      </c>
      <c r="F7" s="1">
        <v>46309</v>
      </c>
    </row>
    <row r="8" spans="1:6" x14ac:dyDescent="0.25">
      <c r="A8" t="s">
        <v>146</v>
      </c>
      <c r="B8" t="s">
        <v>8</v>
      </c>
      <c r="C8" t="s">
        <v>132</v>
      </c>
      <c r="D8" s="1">
        <v>46294</v>
      </c>
      <c r="E8">
        <v>100</v>
      </c>
      <c r="F8" s="1">
        <v>46312</v>
      </c>
    </row>
    <row r="9" spans="1:6" x14ac:dyDescent="0.25">
      <c r="A9" t="s">
        <v>147</v>
      </c>
      <c r="B9" t="s">
        <v>11</v>
      </c>
      <c r="C9" t="s">
        <v>134</v>
      </c>
      <c r="D9" s="1">
        <v>46295</v>
      </c>
      <c r="E9">
        <v>35</v>
      </c>
      <c r="F9" s="1">
        <v>46308</v>
      </c>
    </row>
    <row r="10" spans="1:6" x14ac:dyDescent="0.25">
      <c r="A10" t="s">
        <v>148</v>
      </c>
      <c r="B10" t="s">
        <v>14</v>
      </c>
      <c r="C10" t="s">
        <v>119</v>
      </c>
      <c r="D10" s="1">
        <v>46296</v>
      </c>
      <c r="E10">
        <v>40</v>
      </c>
      <c r="F10" s="1">
        <v>46316</v>
      </c>
    </row>
    <row r="11" spans="1:6" x14ac:dyDescent="0.25">
      <c r="A11" t="s">
        <v>149</v>
      </c>
      <c r="B11" t="s">
        <v>18</v>
      </c>
      <c r="C11" t="s">
        <v>128</v>
      </c>
      <c r="D11" s="1">
        <v>46297</v>
      </c>
      <c r="E11">
        <v>60</v>
      </c>
      <c r="F11" s="1">
        <v>46311</v>
      </c>
    </row>
    <row r="12" spans="1:6" x14ac:dyDescent="0.25">
      <c r="A12" t="s">
        <v>150</v>
      </c>
      <c r="B12" t="s">
        <v>21</v>
      </c>
      <c r="C12" t="s">
        <v>116</v>
      </c>
      <c r="D12" s="1">
        <v>46297</v>
      </c>
      <c r="E12">
        <v>40</v>
      </c>
      <c r="F12" s="1">
        <v>46313</v>
      </c>
    </row>
    <row r="13" spans="1:6" x14ac:dyDescent="0.25">
      <c r="A13" t="s">
        <v>151</v>
      </c>
      <c r="B13" t="s">
        <v>23</v>
      </c>
      <c r="C13" t="s">
        <v>125</v>
      </c>
      <c r="D13" s="1">
        <v>46298</v>
      </c>
      <c r="E13">
        <v>25</v>
      </c>
      <c r="F13" s="1">
        <v>46314</v>
      </c>
    </row>
    <row r="14" spans="1:6" x14ac:dyDescent="0.25">
      <c r="A14" t="s">
        <v>152</v>
      </c>
      <c r="B14" t="s">
        <v>25</v>
      </c>
      <c r="C14" t="s">
        <v>122</v>
      </c>
      <c r="D14" s="1">
        <v>46298</v>
      </c>
      <c r="E14">
        <v>70</v>
      </c>
      <c r="F14" s="1">
        <v>46315</v>
      </c>
    </row>
    <row r="15" spans="1:6" x14ac:dyDescent="0.25">
      <c r="A15" t="s">
        <v>153</v>
      </c>
      <c r="B15" t="s">
        <v>4</v>
      </c>
      <c r="C15" t="s">
        <v>132</v>
      </c>
      <c r="D15" s="1">
        <v>46299</v>
      </c>
      <c r="E15">
        <v>30</v>
      </c>
      <c r="F15" s="1">
        <v>46317</v>
      </c>
    </row>
    <row r="16" spans="1:6" x14ac:dyDescent="0.25">
      <c r="A16" t="s">
        <v>154</v>
      </c>
      <c r="B16" t="s">
        <v>21</v>
      </c>
      <c r="C16" t="s">
        <v>134</v>
      </c>
      <c r="D16" s="1">
        <v>46299</v>
      </c>
      <c r="E16">
        <v>25</v>
      </c>
      <c r="F16" s="1">
        <v>46310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B01CD-6C51-46E5-854E-708888E64309}">
  <dimension ref="A1:F31"/>
  <sheetViews>
    <sheetView topLeftCell="A7" workbookViewId="0">
      <selection activeCell="K5" sqref="K5"/>
    </sheetView>
  </sheetViews>
  <sheetFormatPr defaultRowHeight="15" x14ac:dyDescent="0.25"/>
  <cols>
    <col min="2" max="2" width="12.5703125" customWidth="1"/>
    <col min="3" max="3" width="21.5703125" bestFit="1" customWidth="1"/>
    <col min="4" max="4" width="14.7109375" customWidth="1"/>
    <col min="5" max="5" width="10.42578125" bestFit="1" customWidth="1"/>
    <col min="6" max="6" width="12.140625" customWidth="1"/>
  </cols>
  <sheetData>
    <row r="1" spans="1:6" x14ac:dyDescent="0.25">
      <c r="A1" t="s">
        <v>155</v>
      </c>
      <c r="B1" t="s">
        <v>111</v>
      </c>
      <c r="C1" t="s">
        <v>156</v>
      </c>
      <c r="D1" t="s">
        <v>157</v>
      </c>
      <c r="E1" t="s">
        <v>158</v>
      </c>
      <c r="F1" t="s">
        <v>159</v>
      </c>
    </row>
    <row r="2" spans="1:6" x14ac:dyDescent="0.25">
      <c r="A2" t="s">
        <v>160</v>
      </c>
      <c r="B2" t="s">
        <v>116</v>
      </c>
      <c r="C2" t="s">
        <v>161</v>
      </c>
      <c r="D2">
        <v>100</v>
      </c>
      <c r="E2" s="1">
        <v>46310</v>
      </c>
      <c r="F2" t="s">
        <v>162</v>
      </c>
    </row>
    <row r="3" spans="1:6" x14ac:dyDescent="0.25">
      <c r="A3" t="s">
        <v>163</v>
      </c>
      <c r="B3" t="s">
        <v>125</v>
      </c>
      <c r="C3" t="s">
        <v>164</v>
      </c>
      <c r="D3">
        <v>60</v>
      </c>
      <c r="E3" s="1">
        <v>46305</v>
      </c>
      <c r="F3" t="s">
        <v>162</v>
      </c>
    </row>
    <row r="4" spans="1:6" x14ac:dyDescent="0.25">
      <c r="A4" t="s">
        <v>165</v>
      </c>
      <c r="B4" t="s">
        <v>130</v>
      </c>
      <c r="C4" t="s">
        <v>161</v>
      </c>
      <c r="D4">
        <v>50</v>
      </c>
      <c r="E4" s="1">
        <v>46313</v>
      </c>
      <c r="F4" t="s">
        <v>162</v>
      </c>
    </row>
    <row r="5" spans="1:6" x14ac:dyDescent="0.25">
      <c r="A5" t="s">
        <v>166</v>
      </c>
      <c r="B5" t="s">
        <v>132</v>
      </c>
      <c r="C5" t="s">
        <v>167</v>
      </c>
      <c r="D5">
        <v>100</v>
      </c>
      <c r="E5" s="1">
        <v>46307</v>
      </c>
      <c r="F5" t="s">
        <v>162</v>
      </c>
    </row>
    <row r="6" spans="1:6" x14ac:dyDescent="0.25">
      <c r="A6" t="s">
        <v>168</v>
      </c>
      <c r="B6" t="s">
        <v>134</v>
      </c>
      <c r="C6" t="s">
        <v>164</v>
      </c>
      <c r="D6">
        <v>50</v>
      </c>
      <c r="E6" s="1">
        <v>46311</v>
      </c>
      <c r="F6" t="s">
        <v>162</v>
      </c>
    </row>
    <row r="7" spans="1:6" x14ac:dyDescent="0.25">
      <c r="A7" t="s">
        <v>169</v>
      </c>
      <c r="B7" t="s">
        <v>128</v>
      </c>
      <c r="C7" t="s">
        <v>170</v>
      </c>
      <c r="D7">
        <v>80</v>
      </c>
      <c r="E7" s="1">
        <v>46309</v>
      </c>
      <c r="F7" t="s">
        <v>162</v>
      </c>
    </row>
    <row r="8" spans="1:6" x14ac:dyDescent="0.25">
      <c r="A8" t="s">
        <v>171</v>
      </c>
      <c r="B8" t="s">
        <v>119</v>
      </c>
      <c r="C8" t="s">
        <v>161</v>
      </c>
      <c r="D8">
        <v>120</v>
      </c>
      <c r="E8" s="1">
        <v>46315</v>
      </c>
      <c r="F8" t="s">
        <v>162</v>
      </c>
    </row>
    <row r="9" spans="1:6" x14ac:dyDescent="0.25">
      <c r="A9" t="s">
        <v>172</v>
      </c>
      <c r="B9" t="s">
        <v>122</v>
      </c>
      <c r="C9" t="s">
        <v>173</v>
      </c>
      <c r="D9">
        <v>75</v>
      </c>
      <c r="E9" s="1">
        <v>46306</v>
      </c>
      <c r="F9" t="s">
        <v>162</v>
      </c>
    </row>
    <row r="10" spans="1:6" x14ac:dyDescent="0.25">
      <c r="A10" t="s">
        <v>174</v>
      </c>
      <c r="B10" t="s">
        <v>175</v>
      </c>
      <c r="C10" t="s">
        <v>167</v>
      </c>
      <c r="D10">
        <v>150</v>
      </c>
      <c r="E10" s="1">
        <v>46308</v>
      </c>
      <c r="F10" t="s">
        <v>162</v>
      </c>
    </row>
    <row r="11" spans="1:6" x14ac:dyDescent="0.25">
      <c r="A11" t="s">
        <v>176</v>
      </c>
      <c r="B11" t="s">
        <v>177</v>
      </c>
      <c r="C11" t="s">
        <v>170</v>
      </c>
      <c r="D11">
        <v>90</v>
      </c>
      <c r="E11" s="1">
        <v>46312</v>
      </c>
      <c r="F11" t="s">
        <v>162</v>
      </c>
    </row>
    <row r="12" spans="1:6" x14ac:dyDescent="0.25">
      <c r="A12" t="s">
        <v>178</v>
      </c>
      <c r="B12" t="s">
        <v>116</v>
      </c>
      <c r="C12" t="s">
        <v>161</v>
      </c>
      <c r="D12">
        <v>80</v>
      </c>
      <c r="E12" s="1">
        <v>46317</v>
      </c>
      <c r="F12" t="s">
        <v>179</v>
      </c>
    </row>
    <row r="13" spans="1:6" x14ac:dyDescent="0.25">
      <c r="A13" t="s">
        <v>180</v>
      </c>
      <c r="B13" t="s">
        <v>125</v>
      </c>
      <c r="C13" t="s">
        <v>164</v>
      </c>
      <c r="D13">
        <v>100</v>
      </c>
      <c r="E13" s="1">
        <v>46316</v>
      </c>
      <c r="F13" t="s">
        <v>179</v>
      </c>
    </row>
    <row r="14" spans="1:6" x14ac:dyDescent="0.25">
      <c r="A14" t="s">
        <v>181</v>
      </c>
      <c r="B14" t="s">
        <v>130</v>
      </c>
      <c r="C14" t="s">
        <v>161</v>
      </c>
      <c r="D14">
        <v>70</v>
      </c>
      <c r="E14" s="1">
        <v>46320</v>
      </c>
      <c r="F14" t="s">
        <v>179</v>
      </c>
    </row>
    <row r="15" spans="1:6" x14ac:dyDescent="0.25">
      <c r="A15" t="s">
        <v>182</v>
      </c>
      <c r="B15" t="s">
        <v>132</v>
      </c>
      <c r="C15" t="s">
        <v>167</v>
      </c>
      <c r="D15">
        <v>200</v>
      </c>
      <c r="E15" s="1">
        <v>46314</v>
      </c>
      <c r="F15" t="s">
        <v>162</v>
      </c>
    </row>
    <row r="16" spans="1:6" x14ac:dyDescent="0.25">
      <c r="A16" t="s">
        <v>183</v>
      </c>
      <c r="B16" t="s">
        <v>134</v>
      </c>
      <c r="C16" t="s">
        <v>164</v>
      </c>
      <c r="D16">
        <v>80</v>
      </c>
      <c r="E16" s="1">
        <v>46318</v>
      </c>
      <c r="F16" t="s">
        <v>179</v>
      </c>
    </row>
    <row r="17" spans="1:6" x14ac:dyDescent="0.25">
      <c r="A17" t="s">
        <v>184</v>
      </c>
      <c r="B17" t="s">
        <v>128</v>
      </c>
      <c r="C17" t="s">
        <v>170</v>
      </c>
      <c r="D17">
        <v>120</v>
      </c>
      <c r="E17" s="1">
        <v>46319</v>
      </c>
      <c r="F17" t="s">
        <v>179</v>
      </c>
    </row>
    <row r="18" spans="1:6" x14ac:dyDescent="0.25">
      <c r="A18" t="s">
        <v>185</v>
      </c>
      <c r="B18" t="s">
        <v>119</v>
      </c>
      <c r="C18" t="s">
        <v>161</v>
      </c>
      <c r="D18">
        <v>150</v>
      </c>
      <c r="E18" s="1">
        <v>46322</v>
      </c>
      <c r="F18" t="s">
        <v>179</v>
      </c>
    </row>
    <row r="19" spans="1:6" x14ac:dyDescent="0.25">
      <c r="A19" t="s">
        <v>186</v>
      </c>
      <c r="B19" t="s">
        <v>122</v>
      </c>
      <c r="C19" t="s">
        <v>173</v>
      </c>
      <c r="D19">
        <v>100</v>
      </c>
      <c r="E19" s="1">
        <v>46315</v>
      </c>
      <c r="F19" t="s">
        <v>162</v>
      </c>
    </row>
    <row r="20" spans="1:6" x14ac:dyDescent="0.25">
      <c r="A20" t="s">
        <v>187</v>
      </c>
      <c r="B20" t="s">
        <v>175</v>
      </c>
      <c r="C20" t="s">
        <v>167</v>
      </c>
      <c r="D20">
        <v>120</v>
      </c>
      <c r="E20" s="1">
        <v>46321</v>
      </c>
      <c r="F20" t="s">
        <v>179</v>
      </c>
    </row>
    <row r="21" spans="1:6" x14ac:dyDescent="0.25">
      <c r="A21" t="s">
        <v>188</v>
      </c>
      <c r="B21" t="s">
        <v>177</v>
      </c>
      <c r="C21" t="s">
        <v>170</v>
      </c>
      <c r="D21">
        <v>60</v>
      </c>
      <c r="E21" s="1">
        <v>46323</v>
      </c>
      <c r="F21" t="s">
        <v>179</v>
      </c>
    </row>
    <row r="22" spans="1:6" x14ac:dyDescent="0.25">
      <c r="A22" t="s">
        <v>189</v>
      </c>
      <c r="B22" t="s">
        <v>116</v>
      </c>
      <c r="C22" t="s">
        <v>161</v>
      </c>
      <c r="D22">
        <v>150</v>
      </c>
      <c r="E22" s="1">
        <v>46328</v>
      </c>
      <c r="F22" t="s">
        <v>190</v>
      </c>
    </row>
    <row r="23" spans="1:6" x14ac:dyDescent="0.25">
      <c r="A23" t="s">
        <v>191</v>
      </c>
      <c r="B23" t="s">
        <v>125</v>
      </c>
      <c r="C23" t="s">
        <v>164</v>
      </c>
      <c r="D23">
        <v>80</v>
      </c>
      <c r="E23" s="1">
        <v>46330</v>
      </c>
      <c r="F23" t="s">
        <v>190</v>
      </c>
    </row>
    <row r="24" spans="1:6" x14ac:dyDescent="0.25">
      <c r="A24" t="s">
        <v>192</v>
      </c>
      <c r="B24" t="s">
        <v>130</v>
      </c>
      <c r="C24" t="s">
        <v>161</v>
      </c>
      <c r="D24">
        <v>100</v>
      </c>
      <c r="E24" s="1">
        <v>46332</v>
      </c>
      <c r="F24" t="s">
        <v>190</v>
      </c>
    </row>
    <row r="25" spans="1:6" x14ac:dyDescent="0.25">
      <c r="A25" t="s">
        <v>193</v>
      </c>
      <c r="B25" t="s">
        <v>132</v>
      </c>
      <c r="C25" t="s">
        <v>167</v>
      </c>
      <c r="D25">
        <v>180</v>
      </c>
      <c r="E25" s="1">
        <v>46329</v>
      </c>
      <c r="F25" t="s">
        <v>190</v>
      </c>
    </row>
    <row r="26" spans="1:6" x14ac:dyDescent="0.25">
      <c r="A26" t="s">
        <v>194</v>
      </c>
      <c r="B26" t="s">
        <v>134</v>
      </c>
      <c r="C26" t="s">
        <v>164</v>
      </c>
      <c r="D26">
        <v>100</v>
      </c>
      <c r="E26" s="1">
        <v>46333</v>
      </c>
      <c r="F26" t="s">
        <v>190</v>
      </c>
    </row>
    <row r="27" spans="1:6" x14ac:dyDescent="0.25">
      <c r="A27" t="s">
        <v>195</v>
      </c>
      <c r="B27" t="s">
        <v>128</v>
      </c>
      <c r="C27" t="s">
        <v>170</v>
      </c>
      <c r="D27">
        <v>150</v>
      </c>
      <c r="E27" s="1">
        <v>46331</v>
      </c>
      <c r="F27" t="s">
        <v>190</v>
      </c>
    </row>
    <row r="28" spans="1:6" x14ac:dyDescent="0.25">
      <c r="A28" t="s">
        <v>196</v>
      </c>
      <c r="B28" t="s">
        <v>119</v>
      </c>
      <c r="C28" t="s">
        <v>161</v>
      </c>
      <c r="D28">
        <v>200</v>
      </c>
      <c r="E28" s="1">
        <v>46336</v>
      </c>
      <c r="F28" t="s">
        <v>190</v>
      </c>
    </row>
    <row r="29" spans="1:6" x14ac:dyDescent="0.25">
      <c r="A29" t="s">
        <v>197</v>
      </c>
      <c r="B29" t="s">
        <v>122</v>
      </c>
      <c r="C29" t="s">
        <v>173</v>
      </c>
      <c r="D29">
        <v>120</v>
      </c>
      <c r="E29" s="1">
        <v>46334</v>
      </c>
      <c r="F29" t="s">
        <v>190</v>
      </c>
    </row>
    <row r="30" spans="1:6" x14ac:dyDescent="0.25">
      <c r="A30" t="s">
        <v>198</v>
      </c>
      <c r="B30" t="s">
        <v>175</v>
      </c>
      <c r="C30" t="s">
        <v>167</v>
      </c>
      <c r="D30">
        <v>160</v>
      </c>
      <c r="E30" s="1">
        <v>46338</v>
      </c>
      <c r="F30" t="s">
        <v>190</v>
      </c>
    </row>
    <row r="31" spans="1:6" x14ac:dyDescent="0.25">
      <c r="A31" t="s">
        <v>199</v>
      </c>
      <c r="B31" t="s">
        <v>177</v>
      </c>
      <c r="C31" t="s">
        <v>170</v>
      </c>
      <c r="D31">
        <v>100</v>
      </c>
      <c r="E31" s="1">
        <v>46341</v>
      </c>
      <c r="F31" t="s">
        <v>190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A8156B-3A77-454F-84BD-A677C37F96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Order_Tracker</vt:lpstr>
      <vt:lpstr>Pivot_Data</vt:lpstr>
      <vt:lpstr>Customers</vt:lpstr>
      <vt:lpstr>Products</vt:lpstr>
      <vt:lpstr>Orders</vt:lpstr>
      <vt:lpstr>Purchase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Jessie H</dc:creator>
  <cp:lastModifiedBy>JS Hsiao</cp:lastModifiedBy>
  <cp:lastPrinted>2026-10-07T19:17:28Z</cp:lastPrinted>
  <dcterms:created xsi:type="dcterms:W3CDTF">2026-10-06T21:39:56Z</dcterms:created>
  <dcterms:modified xsi:type="dcterms:W3CDTF">2026-10-07T19:21:23Z</dcterms:modified>
</cp:coreProperties>
</file>